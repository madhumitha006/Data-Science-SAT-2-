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dhu\Downloads\"/>
    </mc:Choice>
  </mc:AlternateContent>
  <xr:revisionPtr revIDLastSave="0" documentId="13_ncr:1_{1D9DE3F0-E96E-4194-9076-1C0FC7756DB8}" xr6:coauthVersionLast="47" xr6:coauthVersionMax="47" xr10:uidLastSave="{00000000-0000-0000-0000-000000000000}"/>
  <bookViews>
    <workbookView xWindow="2472" yWindow="2472" windowWidth="17280" windowHeight="8880" xr2:uid="{00000000-000D-0000-FFFF-FFFF00000000}"/>
  </bookViews>
  <sheets>
    <sheet name="Summary" sheetId="1" r:id="rId1"/>
    <sheet name="Sheet2" sheetId="12" r:id="rId2"/>
    <sheet name="Sheet3" sheetId="13" r:id="rId3"/>
    <sheet name="Zone Analysis" sheetId="2" r:id="rId4"/>
    <sheet name="Peak Time" sheetId="3" r:id="rId5"/>
    <sheet name="Turnover Summary" sheetId="4" r:id="rId6"/>
    <sheet name="Event Comparison" sheetId="5" r:id="rId7"/>
    <sheet name="Weather Comparison" sheetId="6" r:id="rId8"/>
    <sheet name="Duration Distribution" sheetId="7" r:id="rId9"/>
    <sheet name="Data Quality" sheetId="8" r:id="rId10"/>
    <sheet name="Formulas &amp; Statistics" sheetId="9" r:id="rId11"/>
    <sheet name="ML Evidence" sheetId="10" r:id="rId12"/>
  </sheets>
  <externalReferences>
    <externalReference r:id="rId13"/>
    <externalReference r:id="rId14"/>
  </externalReferences>
  <definedNames>
    <definedName name="_xlnm._FilterDatabase" localSheetId="9" hidden="1">'Data Quality'!$A$1:$C$10</definedName>
    <definedName name="_xlnm._FilterDatabase" localSheetId="8" hidden="1">'Duration Distribution'!$A$1:$D$5</definedName>
    <definedName name="_xlnm._FilterDatabase" localSheetId="6" hidden="1">'Event Comparison'!$A$1:$D$3</definedName>
    <definedName name="_xlnm._FilterDatabase" localSheetId="10" hidden="1">'Formulas &amp; Statistics'!$A$1:$B$9</definedName>
    <definedName name="_xlnm._FilterDatabase" localSheetId="11" hidden="1">'ML Evidence'!$A$1:$G$10</definedName>
    <definedName name="_xlnm._FilterDatabase" localSheetId="4" hidden="1">'Peak Time'!$A$1:$C$24</definedName>
    <definedName name="_xlnm._FilterDatabase" localSheetId="5" hidden="1">'Turnover Summary'!$A$1:$F$121</definedName>
    <definedName name="_xlnm._FilterDatabase" localSheetId="7" hidden="1">'Weather Comparison'!$A$1:$D$3</definedName>
    <definedName name="_xlnm._FilterDatabase" localSheetId="3" hidden="1">'Zone Analysis'!$A$1:$E$121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9" l="1"/>
  <c r="B8" i="9"/>
  <c r="B7" i="9"/>
  <c r="B6" i="9"/>
  <c r="B5" i="9"/>
  <c r="B4" i="9"/>
  <c r="B3" i="9"/>
  <c r="B2" i="9"/>
</calcChain>
</file>

<file path=xl/sharedStrings.xml><?xml version="1.0" encoding="utf-8"?>
<sst xmlns="http://schemas.openxmlformats.org/spreadsheetml/2006/main" count="754" uniqueCount="241">
  <si>
    <t>PARKSMART CITY SERVICES — PARKING UTILIZATION INSIGHT</t>
  </si>
  <si>
    <t>Assessment-ready summary dashboard | Use Case 17</t>
  </si>
  <si>
    <t>KEY FINDING</t>
  </si>
  <si>
    <t>RESULT</t>
  </si>
  <si>
    <t>EVIDENCE</t>
  </si>
  <si>
    <t>ASSESSMENT EVIDENCE</t>
  </si>
  <si>
    <t>STATUS</t>
  </si>
  <si>
    <t>Highest average occupancy zone</t>
  </si>
  <si>
    <t>Z104</t>
  </si>
  <si>
    <t>30.67%</t>
  </si>
  <si>
    <t>Lowest turnover zone</t>
  </si>
  <si>
    <t>Z064</t>
  </si>
  <si>
    <t>0.0428 turns/space/day</t>
  </si>
  <si>
    <t>Peak parking hour</t>
  </si>
  <si>
    <t>20:00</t>
  </si>
  <si>
    <t>11.61% occupancy</t>
  </si>
  <si>
    <t>Raw parking sessions</t>
  </si>
  <si>
    <t>100,300</t>
  </si>
  <si>
    <t>Source records</t>
  </si>
  <si>
    <t>Clean parking sessions</t>
  </si>
  <si>
    <t>99,850</t>
  </si>
  <si>
    <t>After preprocessing</t>
  </si>
  <si>
    <t>Zones analysed</t>
  </si>
  <si>
    <t>120</t>
  </si>
  <si>
    <t>Complete zone reference</t>
  </si>
  <si>
    <t>Random Forest accuracy</t>
  </si>
  <si>
    <t>95.38%</t>
  </si>
  <si>
    <t>Classification evidence</t>
  </si>
  <si>
    <t>Weighted F1-score</t>
  </si>
  <si>
    <t>0.9643</t>
  </si>
  <si>
    <t>Cleaned dataset</t>
  </si>
  <si>
    <t>READY</t>
  </si>
  <si>
    <t>Data quality checks</t>
  </si>
  <si>
    <t>Descriptive analysis</t>
  </si>
  <si>
    <t>Zone occupancy</t>
  </si>
  <si>
    <t>Peak-time analysis</t>
  </si>
  <si>
    <t>Turnover summary</t>
  </si>
  <si>
    <t>Event comparison</t>
  </si>
  <si>
    <t>Weather comparison</t>
  </si>
  <si>
    <t>Duration distribution</t>
  </si>
  <si>
    <t>Engineered features</t>
  </si>
  <si>
    <t>Selected features</t>
  </si>
  <si>
    <t>Pivot analysis tables</t>
  </si>
  <si>
    <t>Pivot charts</t>
  </si>
  <si>
    <t>ML evidence</t>
  </si>
  <si>
    <t>TOP 2 BUSINESS INSIGHTS</t>
  </si>
  <si>
    <t>1. Z104 has the highest average occupancy (30.67%), indicating sustained demand.</t>
  </si>
  <si>
    <t>2. 20:00 is the peak parking hour; capacity planning should focus on evening demand.</t>
  </si>
  <si>
    <t>RECOMMENDATIONS</t>
  </si>
  <si>
    <t>1. Prioritize parking guidance and capacity monitoring around high-demand zones such as Z104.</t>
  </si>
  <si>
    <t>2. Use peak-hour monitoring and dynamic allocation during evening demand.</t>
  </si>
  <si>
    <t>zone</t>
  </si>
  <si>
    <t>zone_type</t>
  </si>
  <si>
    <t>avg_occupancy</t>
  </si>
  <si>
    <t>max_occupancy</t>
  </si>
  <si>
    <t>total_sessions</t>
  </si>
  <si>
    <t>Commercial</t>
  </si>
  <si>
    <t>Z069</t>
  </si>
  <si>
    <t>Z087</t>
  </si>
  <si>
    <t>Z117</t>
  </si>
  <si>
    <t>Residential</t>
  </si>
  <si>
    <t>Z074</t>
  </si>
  <si>
    <t>Z045</t>
  </si>
  <si>
    <t>Transit</t>
  </si>
  <si>
    <t>Z056</t>
  </si>
  <si>
    <t>Recreational</t>
  </si>
  <si>
    <t>Z036</t>
  </si>
  <si>
    <t>Z001</t>
  </si>
  <si>
    <t>Z009</t>
  </si>
  <si>
    <t>Z052</t>
  </si>
  <si>
    <t>Z120</t>
  </si>
  <si>
    <t>Z010</t>
  </si>
  <si>
    <t>Z033</t>
  </si>
  <si>
    <t>Z007</t>
  </si>
  <si>
    <t>Z097</t>
  </si>
  <si>
    <t>Z018</t>
  </si>
  <si>
    <t>Z100</t>
  </si>
  <si>
    <t>Z118</t>
  </si>
  <si>
    <t>Z111</t>
  </si>
  <si>
    <t>Z039</t>
  </si>
  <si>
    <t>Z058</t>
  </si>
  <si>
    <t>Z023</t>
  </si>
  <si>
    <t>Z083</t>
  </si>
  <si>
    <t>Z072</t>
  </si>
  <si>
    <t>Z041</t>
  </si>
  <si>
    <t>Z063</t>
  </si>
  <si>
    <t>Z068</t>
  </si>
  <si>
    <t>Z053</t>
  </si>
  <si>
    <t>Z032</t>
  </si>
  <si>
    <t>Z065</t>
  </si>
  <si>
    <t>Z102</t>
  </si>
  <si>
    <t>Z078</t>
  </si>
  <si>
    <t>Z031</t>
  </si>
  <si>
    <t>Z076</t>
  </si>
  <si>
    <t>Z119</t>
  </si>
  <si>
    <t>Z109</t>
  </si>
  <si>
    <t>Z115</t>
  </si>
  <si>
    <t>Z096</t>
  </si>
  <si>
    <t>Z055</t>
  </si>
  <si>
    <t>Z017</t>
  </si>
  <si>
    <t>Z011</t>
  </si>
  <si>
    <t>Z029</t>
  </si>
  <si>
    <t>Z113</t>
  </si>
  <si>
    <t>Z116</t>
  </si>
  <si>
    <t>Z077</t>
  </si>
  <si>
    <t>Z088</t>
  </si>
  <si>
    <t>Z026</t>
  </si>
  <si>
    <t>Z066</t>
  </si>
  <si>
    <t>Z044</t>
  </si>
  <si>
    <t>Z049</t>
  </si>
  <si>
    <t>Z027</t>
  </si>
  <si>
    <t>Z080</t>
  </si>
  <si>
    <t>Z022</t>
  </si>
  <si>
    <t>Z008</t>
  </si>
  <si>
    <t>Z015</t>
  </si>
  <si>
    <t>Z091</t>
  </si>
  <si>
    <t>Z043</t>
  </si>
  <si>
    <t>Z086</t>
  </si>
  <si>
    <t>Z094</t>
  </si>
  <si>
    <t>Z004</t>
  </si>
  <si>
    <t>Z020</t>
  </si>
  <si>
    <t>Z014</t>
  </si>
  <si>
    <t>Z016</t>
  </si>
  <si>
    <t>Z114</t>
  </si>
  <si>
    <t>Z071</t>
  </si>
  <si>
    <t>Z103</t>
  </si>
  <si>
    <t>Z106</t>
  </si>
  <si>
    <t>Z025</t>
  </si>
  <si>
    <t>Z093</t>
  </si>
  <si>
    <t>Z090</t>
  </si>
  <si>
    <t>Z082</t>
  </si>
  <si>
    <t>Z005</t>
  </si>
  <si>
    <t>Z030</t>
  </si>
  <si>
    <t>Z038</t>
  </si>
  <si>
    <t>Z047</t>
  </si>
  <si>
    <t>Z021</t>
  </si>
  <si>
    <t>Z037</t>
  </si>
  <si>
    <t>Z073</t>
  </si>
  <si>
    <t>Z101</t>
  </si>
  <si>
    <t>Z057</t>
  </si>
  <si>
    <t>Z095</t>
  </si>
  <si>
    <t>Z054</t>
  </si>
  <si>
    <t>Z067</t>
  </si>
  <si>
    <t>Z070</t>
  </si>
  <si>
    <t>Z079</t>
  </si>
  <si>
    <t>Z035</t>
  </si>
  <si>
    <t>Z048</t>
  </si>
  <si>
    <t>Z024</t>
  </si>
  <si>
    <t>Z034</t>
  </si>
  <si>
    <t>Z099</t>
  </si>
  <si>
    <t>Z108</t>
  </si>
  <si>
    <t>Z040</t>
  </si>
  <si>
    <t>Z042</t>
  </si>
  <si>
    <t>Z003</t>
  </si>
  <si>
    <t>Z085</t>
  </si>
  <si>
    <t>Z060</t>
  </si>
  <si>
    <t>Z107</t>
  </si>
  <si>
    <t>Z098</t>
  </si>
  <si>
    <t>Z075</t>
  </si>
  <si>
    <t>Z110</t>
  </si>
  <si>
    <t>Z013</t>
  </si>
  <si>
    <t>Z050</t>
  </si>
  <si>
    <t>Z092</t>
  </si>
  <si>
    <t>Z062</t>
  </si>
  <si>
    <t>Z051</t>
  </si>
  <si>
    <t>Z089</t>
  </si>
  <si>
    <t>Z059</t>
  </si>
  <si>
    <t>Z002</t>
  </si>
  <si>
    <t>Z105</t>
  </si>
  <si>
    <t>Z112</t>
  </si>
  <si>
    <t>Z028</t>
  </si>
  <si>
    <t>Z084</t>
  </si>
  <si>
    <t>Z019</t>
  </si>
  <si>
    <t>Z046</t>
  </si>
  <si>
    <t>Z006</t>
  </si>
  <si>
    <t>Z061</t>
  </si>
  <si>
    <t>Z081</t>
  </si>
  <si>
    <t>Z012</t>
  </si>
  <si>
    <t>hour</t>
  </si>
  <si>
    <t>days_observed</t>
  </si>
  <si>
    <t>capacity</t>
  </si>
  <si>
    <t>avg_daily_turnover</t>
  </si>
  <si>
    <t>event</t>
  </si>
  <si>
    <t>sessions</t>
  </si>
  <si>
    <t>avg_duration_min</t>
  </si>
  <si>
    <t>rain</t>
  </si>
  <si>
    <t>median_duration_min</t>
  </si>
  <si>
    <t>Check</t>
  </si>
  <si>
    <t>Value</t>
  </si>
  <si>
    <t>Treatment / Evidence</t>
  </si>
  <si>
    <t>Missing exit times</t>
  </si>
  <si>
    <t>Filled using entry + duration</t>
  </si>
  <si>
    <t>Exact duplicate rows</t>
  </si>
  <si>
    <t>Reviewed</t>
  </si>
  <si>
    <t>Duplicate business-key sessions removed</t>
  </si>
  <si>
    <t>Removed after zone normalization</t>
  </si>
  <si>
    <t>Negative duration rows</t>
  </si>
  <si>
    <t>Removed</t>
  </si>
  <si>
    <t>Missing duration after invalid rows</t>
  </si>
  <si>
    <t>Zone-median imputation</t>
  </si>
  <si>
    <t>IQR upper fence</t>
  </si>
  <si>
    <t>Outlier cap</t>
  </si>
  <si>
    <t>Duration outliers treated</t>
  </si>
  <si>
    <t>IQR capping</t>
  </si>
  <si>
    <t>Inconsistent zone labels</t>
  </si>
  <si>
    <t>5 variants</t>
  </si>
  <si>
    <t>Mapped to Z001–Z005</t>
  </si>
  <si>
    <t>Capacity mismatch</t>
  </si>
  <si>
    <t>Checked</t>
  </si>
  <si>
    <t>zones.csv used as reference</t>
  </si>
  <si>
    <t>Measure</t>
  </si>
  <si>
    <t>Excel Formula</t>
  </si>
  <si>
    <t>Mean duration (hours)</t>
  </si>
  <si>
    <t>Median duration (hours)</t>
  </si>
  <si>
    <t>Maximum duration (hours)</t>
  </si>
  <si>
    <t>Minimum duration (hours)</t>
  </si>
  <si>
    <t>Average fee</t>
  </si>
  <si>
    <t>Total fee</t>
  </si>
  <si>
    <t>Number of zones</t>
  </si>
  <si>
    <t>Number of clean sessions</t>
  </si>
  <si>
    <t>Metric</t>
  </si>
  <si>
    <t>Actual \ Predicted</t>
  </si>
  <si>
    <t>Low</t>
  </si>
  <si>
    <t>Medium</t>
  </si>
  <si>
    <t>High</t>
  </si>
  <si>
    <t>Accuracy</t>
  </si>
  <si>
    <t>Precision (weighted)</t>
  </si>
  <si>
    <t>Recall (weighted)</t>
  </si>
  <si>
    <t>F1-score (weighted)</t>
  </si>
  <si>
    <t>Target</t>
  </si>
  <si>
    <t>occupancy_class (Low / Medium / High)</t>
  </si>
  <si>
    <t>Algorithm</t>
  </si>
  <si>
    <t>Random Forest Classifier</t>
  </si>
  <si>
    <t>Feature selection</t>
  </si>
  <si>
    <t>Aggregated Random Forest importance; selected if importance &gt; 0.02</t>
  </si>
  <si>
    <t>(All)</t>
  </si>
  <si>
    <t>Grand Total</t>
  </si>
  <si>
    <t>Row Labels</t>
  </si>
  <si>
    <t>Sum of avg_occupancy</t>
  </si>
  <si>
    <t>Sum of max_occupancy</t>
  </si>
  <si>
    <t>Sum of total_sessions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</si>
</sst>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AD4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Zones by Average Occupancy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'Zone Analysis'!$C$1</c:f>
              <c:strCache>
                <c:ptCount val="1"/>
                <c:pt idx="0">
                  <c:v>avg_occupancy</c:v>
                </c:pt>
              </c:strCache>
            </c:strRef>
          </c:tx>
          <c:invertIfNegative val="0"/>
          <c:cat>
            <c:strRef>
              <c:f>'Zone Analysis'!$A$2:$A$11</c:f>
              <c:strCache>
                <c:ptCount val="10"/>
                <c:pt idx="0">
                  <c:v>Z104</c:v>
                </c:pt>
                <c:pt idx="1">
                  <c:v>Z069</c:v>
                </c:pt>
                <c:pt idx="2">
                  <c:v>Z087</c:v>
                </c:pt>
                <c:pt idx="3">
                  <c:v>Z117</c:v>
                </c:pt>
                <c:pt idx="4">
                  <c:v>Z074</c:v>
                </c:pt>
                <c:pt idx="5">
                  <c:v>Z045</c:v>
                </c:pt>
                <c:pt idx="6">
                  <c:v>Z056</c:v>
                </c:pt>
                <c:pt idx="7">
                  <c:v>Z036</c:v>
                </c:pt>
                <c:pt idx="8">
                  <c:v>Z001</c:v>
                </c:pt>
                <c:pt idx="9">
                  <c:v>Z009</c:v>
                </c:pt>
              </c:strCache>
            </c:strRef>
          </c:cat>
          <c:val>
            <c:numRef>
              <c:f>'Zone Analysis'!$C$2:$C$11</c:f>
              <c:numCache>
                <c:formatCode>General</c:formatCode>
                <c:ptCount val="10"/>
                <c:pt idx="0">
                  <c:v>30.672672672672672</c:v>
                </c:pt>
                <c:pt idx="1">
                  <c:v>25.264750378214821</c:v>
                </c:pt>
                <c:pt idx="2">
                  <c:v>22.662984350154819</c:v>
                </c:pt>
                <c:pt idx="3">
                  <c:v>21.045751633986931</c:v>
                </c:pt>
                <c:pt idx="4">
                  <c:v>19.75386779184247</c:v>
                </c:pt>
                <c:pt idx="5">
                  <c:v>19.34835076427996</c:v>
                </c:pt>
                <c:pt idx="6">
                  <c:v>18.370986920332939</c:v>
                </c:pt>
                <c:pt idx="7">
                  <c:v>17.2562893081761</c:v>
                </c:pt>
                <c:pt idx="8">
                  <c:v>16.36073423782921</c:v>
                </c:pt>
                <c:pt idx="9">
                  <c:v>16.311592138991742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2-4E14-AD4B-471150B38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Zone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Occupancy by Hour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'Peak Time'!$B$1</c:f>
              <c:strCache>
                <c:ptCount val="1"/>
                <c:pt idx="0">
                  <c:v>avg_occupancy</c:v>
                </c:pt>
              </c:strCache>
            </c:strRef>
          </c:tx>
          <c:marker>
            <c:symbol val="none"/>
          </c:marker>
          <c:cat>
            <c:numRef>
              <c:f>'Peak Time'!$A$2:$A$25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'Peak Time'!$B$2:$B$25</c:f>
              <c:numCache>
                <c:formatCode>General</c:formatCode>
                <c:ptCount val="24"/>
                <c:pt idx="0">
                  <c:v>7.7057176247635972</c:v>
                </c:pt>
                <c:pt idx="1">
                  <c:v>7.0172383713089603</c:v>
                </c:pt>
                <c:pt idx="2">
                  <c:v>6.6628015397690188</c:v>
                </c:pt>
                <c:pt idx="3">
                  <c:v>6.384481287165122</c:v>
                </c:pt>
                <c:pt idx="4">
                  <c:v>6.2861680046697526</c:v>
                </c:pt>
                <c:pt idx="5">
                  <c:v>6.0723972585385626</c:v>
                </c:pt>
                <c:pt idx="6">
                  <c:v>6.5398650852947862</c:v>
                </c:pt>
                <c:pt idx="7">
                  <c:v>6.7819549598341213</c:v>
                </c:pt>
                <c:pt idx="8">
                  <c:v>7.0545323866053851</c:v>
                </c:pt>
                <c:pt idx="9">
                  <c:v>7.5059437789015426</c:v>
                </c:pt>
                <c:pt idx="10">
                  <c:v>8.0253672056219489</c:v>
                </c:pt>
                <c:pt idx="11">
                  <c:v>8.5164331052368976</c:v>
                </c:pt>
                <c:pt idx="12">
                  <c:v>8.9351830711311369</c:v>
                </c:pt>
                <c:pt idx="13">
                  <c:v>9.1285785227043394</c:v>
                </c:pt>
                <c:pt idx="14">
                  <c:v>9.23808309756404</c:v>
                </c:pt>
                <c:pt idx="15">
                  <c:v>9.4437366251693184</c:v>
                </c:pt>
                <c:pt idx="16">
                  <c:v>9.8407971937013681</c:v>
                </c:pt>
                <c:pt idx="17">
                  <c:v>10.450732425058129</c:v>
                </c:pt>
                <c:pt idx="18">
                  <c:v>11.22214876028446</c:v>
                </c:pt>
                <c:pt idx="19">
                  <c:v>11.6125814141239</c:v>
                </c:pt>
                <c:pt idx="20">
                  <c:v>11.282837501711411</c:v>
                </c:pt>
                <c:pt idx="21">
                  <c:v>9.9523775539733776</c:v>
                </c:pt>
                <c:pt idx="22">
                  <c:v>8.6980595799452232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AF-433B-85D8-8EA0D74C2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[Parking_Utilization_Insight_POLISHED_DASHBOARD.xlsx]Sheet3!PivotTable3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Sum of avg_occupancy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8A-41C9-BAA0-DA29173851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8A-41C9-BAA0-DA29173851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8A-41C9-BAA0-DA29173851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8A-41C9-BAA0-DA29173851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8A-41C9-BAA0-DA29173851E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8A-41C9-BAA0-DA29173851E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8A-41C9-BAA0-DA29173851E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28A-41C9-BAA0-DA29173851E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28A-41C9-BAA0-DA29173851E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28A-41C9-BAA0-DA29173851E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28A-41C9-BAA0-DA29173851E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28A-41C9-BAA0-DA29173851E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28A-41C9-BAA0-DA29173851E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28A-41C9-BAA0-DA29173851E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28A-41C9-BAA0-DA29173851E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28A-41C9-BAA0-DA29173851E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28A-41C9-BAA0-DA29173851E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28A-41C9-BAA0-DA29173851E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28A-41C9-BAA0-DA29173851E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28A-41C9-BAA0-DA29173851E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28A-41C9-BAA0-DA29173851E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28A-41C9-BAA0-DA29173851E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28A-41C9-BAA0-DA29173851E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28A-41C9-BAA0-DA29173851E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28A-41C9-BAA0-DA29173851E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28A-41C9-BAA0-DA29173851E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28A-41C9-BAA0-DA29173851E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28A-41C9-BAA0-DA29173851E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28A-41C9-BAA0-DA29173851E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28A-41C9-BAA0-DA29173851E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28A-41C9-BAA0-DA29173851E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E28A-41C9-BAA0-DA29173851E6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28A-41C9-BAA0-DA29173851E6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28A-41C9-BAA0-DA29173851E6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E28A-41C9-BAA0-DA29173851E6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E28A-41C9-BAA0-DA29173851E6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E28A-41C9-BAA0-DA29173851E6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E28A-41C9-BAA0-DA29173851E6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E28A-41C9-BAA0-DA29173851E6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E28A-41C9-BAA0-DA29173851E6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E28A-41C9-BAA0-DA29173851E6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E28A-41C9-BAA0-DA29173851E6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E28A-41C9-BAA0-DA29173851E6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E28A-41C9-BAA0-DA29173851E6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E28A-41C9-BAA0-DA29173851E6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E28A-41C9-BAA0-DA29173851E6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E28A-41C9-BAA0-DA29173851E6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E28A-41C9-BAA0-DA29173851E6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E28A-41C9-BAA0-DA29173851E6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E28A-41C9-BAA0-DA29173851E6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E28A-41C9-BAA0-DA29173851E6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E28A-41C9-BAA0-DA29173851E6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E28A-41C9-BAA0-DA29173851E6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E28A-41C9-BAA0-DA29173851E6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E28A-41C9-BAA0-DA29173851E6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E28A-41C9-BAA0-DA29173851E6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E28A-41C9-BAA0-DA29173851E6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E28A-41C9-BAA0-DA29173851E6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E28A-41C9-BAA0-DA29173851E6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E28A-41C9-BAA0-DA29173851E6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E28A-41C9-BAA0-DA29173851E6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E28A-41C9-BAA0-DA29173851E6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E28A-41C9-BAA0-DA29173851E6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E28A-41C9-BAA0-DA29173851E6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E28A-41C9-BAA0-DA29173851E6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E28A-41C9-BAA0-DA29173851E6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E28A-41C9-BAA0-DA29173851E6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E28A-41C9-BAA0-DA29173851E6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E28A-41C9-BAA0-DA29173851E6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E28A-41C9-BAA0-DA29173851E6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E28A-41C9-BAA0-DA29173851E6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E28A-41C9-BAA0-DA29173851E6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E28A-41C9-BAA0-DA29173851E6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E28A-41C9-BAA0-DA29173851E6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E28A-41C9-BAA0-DA29173851E6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E28A-41C9-BAA0-DA29173851E6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E28A-41C9-BAA0-DA29173851E6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E28A-41C9-BAA0-DA29173851E6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E28A-41C9-BAA0-DA29173851E6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E28A-41C9-BAA0-DA29173851E6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E28A-41C9-BAA0-DA29173851E6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E28A-41C9-BAA0-DA29173851E6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E28A-41C9-BAA0-DA29173851E6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E28A-41C9-BAA0-DA29173851E6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E28A-41C9-BAA0-DA29173851E6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E28A-41C9-BAA0-DA29173851E6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E28A-41C9-BAA0-DA29173851E6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E28A-41C9-BAA0-DA29173851E6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E28A-41C9-BAA0-DA29173851E6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E28A-41C9-BAA0-DA29173851E6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E28A-41C9-BAA0-DA29173851E6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E28A-41C9-BAA0-DA29173851E6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E28A-41C9-BAA0-DA29173851E6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E28A-41C9-BAA0-DA29173851E6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E28A-41C9-BAA0-DA29173851E6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E28A-41C9-BAA0-DA29173851E6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E28A-41C9-BAA0-DA29173851E6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E28A-41C9-BAA0-DA29173851E6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E28A-41C9-BAA0-DA29173851E6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E28A-41C9-BAA0-DA29173851E6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E28A-41C9-BAA0-DA29173851E6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E28A-41C9-BAA0-DA29173851E6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E28A-41C9-BAA0-DA29173851E6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E28A-41C9-BAA0-DA29173851E6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E28A-41C9-BAA0-DA29173851E6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E28A-41C9-BAA0-DA29173851E6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E28A-41C9-BAA0-DA29173851E6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E28A-41C9-BAA0-DA29173851E6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E28A-41C9-BAA0-DA29173851E6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E28A-41C9-BAA0-DA29173851E6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E28A-41C9-BAA0-DA29173851E6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E28A-41C9-BAA0-DA29173851E6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E28A-41C9-BAA0-DA29173851E6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E28A-41C9-BAA0-DA29173851E6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E28A-41C9-BAA0-DA29173851E6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E28A-41C9-BAA0-DA29173851E6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E28A-41C9-BAA0-DA29173851E6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E28A-41C9-BAA0-DA29173851E6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E28A-41C9-BAA0-DA29173851E6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E28A-41C9-BAA0-DA29173851E6}"/>
              </c:ext>
            </c:extLst>
          </c:dPt>
          <c:cat>
            <c:strRef>
              <c:f>Sheet3!$A$4:$A$124</c:f>
              <c:strCache>
                <c:ptCount val="120"/>
                <c:pt idx="0">
                  <c:v>Z001</c:v>
                </c:pt>
                <c:pt idx="1">
                  <c:v>Z002</c:v>
                </c:pt>
                <c:pt idx="2">
                  <c:v>Z003</c:v>
                </c:pt>
                <c:pt idx="3">
                  <c:v>Z004</c:v>
                </c:pt>
                <c:pt idx="4">
                  <c:v>Z005</c:v>
                </c:pt>
                <c:pt idx="5">
                  <c:v>Z006</c:v>
                </c:pt>
                <c:pt idx="6">
                  <c:v>Z007</c:v>
                </c:pt>
                <c:pt idx="7">
                  <c:v>Z008</c:v>
                </c:pt>
                <c:pt idx="8">
                  <c:v>Z009</c:v>
                </c:pt>
                <c:pt idx="9">
                  <c:v>Z010</c:v>
                </c:pt>
                <c:pt idx="10">
                  <c:v>Z011</c:v>
                </c:pt>
                <c:pt idx="11">
                  <c:v>Z012</c:v>
                </c:pt>
                <c:pt idx="12">
                  <c:v>Z013</c:v>
                </c:pt>
                <c:pt idx="13">
                  <c:v>Z014</c:v>
                </c:pt>
                <c:pt idx="14">
                  <c:v>Z015</c:v>
                </c:pt>
                <c:pt idx="15">
                  <c:v>Z016</c:v>
                </c:pt>
                <c:pt idx="16">
                  <c:v>Z017</c:v>
                </c:pt>
                <c:pt idx="17">
                  <c:v>Z018</c:v>
                </c:pt>
                <c:pt idx="18">
                  <c:v>Z019</c:v>
                </c:pt>
                <c:pt idx="19">
                  <c:v>Z020</c:v>
                </c:pt>
                <c:pt idx="20">
                  <c:v>Z021</c:v>
                </c:pt>
                <c:pt idx="21">
                  <c:v>Z022</c:v>
                </c:pt>
                <c:pt idx="22">
                  <c:v>Z023</c:v>
                </c:pt>
                <c:pt idx="23">
                  <c:v>Z024</c:v>
                </c:pt>
                <c:pt idx="24">
                  <c:v>Z025</c:v>
                </c:pt>
                <c:pt idx="25">
                  <c:v>Z026</c:v>
                </c:pt>
                <c:pt idx="26">
                  <c:v>Z027</c:v>
                </c:pt>
                <c:pt idx="27">
                  <c:v>Z028</c:v>
                </c:pt>
                <c:pt idx="28">
                  <c:v>Z029</c:v>
                </c:pt>
                <c:pt idx="29">
                  <c:v>Z030</c:v>
                </c:pt>
                <c:pt idx="30">
                  <c:v>Z031</c:v>
                </c:pt>
                <c:pt idx="31">
                  <c:v>Z032</c:v>
                </c:pt>
                <c:pt idx="32">
                  <c:v>Z033</c:v>
                </c:pt>
                <c:pt idx="33">
                  <c:v>Z034</c:v>
                </c:pt>
                <c:pt idx="34">
                  <c:v>Z035</c:v>
                </c:pt>
                <c:pt idx="35">
                  <c:v>Z036</c:v>
                </c:pt>
                <c:pt idx="36">
                  <c:v>Z037</c:v>
                </c:pt>
                <c:pt idx="37">
                  <c:v>Z038</c:v>
                </c:pt>
                <c:pt idx="38">
                  <c:v>Z039</c:v>
                </c:pt>
                <c:pt idx="39">
                  <c:v>Z040</c:v>
                </c:pt>
                <c:pt idx="40">
                  <c:v>Z041</c:v>
                </c:pt>
                <c:pt idx="41">
                  <c:v>Z042</c:v>
                </c:pt>
                <c:pt idx="42">
                  <c:v>Z043</c:v>
                </c:pt>
                <c:pt idx="43">
                  <c:v>Z044</c:v>
                </c:pt>
                <c:pt idx="44">
                  <c:v>Z045</c:v>
                </c:pt>
                <c:pt idx="45">
                  <c:v>Z046</c:v>
                </c:pt>
                <c:pt idx="46">
                  <c:v>Z047</c:v>
                </c:pt>
                <c:pt idx="47">
                  <c:v>Z048</c:v>
                </c:pt>
                <c:pt idx="48">
                  <c:v>Z049</c:v>
                </c:pt>
                <c:pt idx="49">
                  <c:v>Z050</c:v>
                </c:pt>
                <c:pt idx="50">
                  <c:v>Z051</c:v>
                </c:pt>
                <c:pt idx="51">
                  <c:v>Z052</c:v>
                </c:pt>
                <c:pt idx="52">
                  <c:v>Z053</c:v>
                </c:pt>
                <c:pt idx="53">
                  <c:v>Z054</c:v>
                </c:pt>
                <c:pt idx="54">
                  <c:v>Z055</c:v>
                </c:pt>
                <c:pt idx="55">
                  <c:v>Z056</c:v>
                </c:pt>
                <c:pt idx="56">
                  <c:v>Z057</c:v>
                </c:pt>
                <c:pt idx="57">
                  <c:v>Z058</c:v>
                </c:pt>
                <c:pt idx="58">
                  <c:v>Z059</c:v>
                </c:pt>
                <c:pt idx="59">
                  <c:v>Z060</c:v>
                </c:pt>
                <c:pt idx="60">
                  <c:v>Z061</c:v>
                </c:pt>
                <c:pt idx="61">
                  <c:v>Z062</c:v>
                </c:pt>
                <c:pt idx="62">
                  <c:v>Z063</c:v>
                </c:pt>
                <c:pt idx="63">
                  <c:v>Z064</c:v>
                </c:pt>
                <c:pt idx="64">
                  <c:v>Z065</c:v>
                </c:pt>
                <c:pt idx="65">
                  <c:v>Z066</c:v>
                </c:pt>
                <c:pt idx="66">
                  <c:v>Z067</c:v>
                </c:pt>
                <c:pt idx="67">
                  <c:v>Z068</c:v>
                </c:pt>
                <c:pt idx="68">
                  <c:v>Z069</c:v>
                </c:pt>
                <c:pt idx="69">
                  <c:v>Z070</c:v>
                </c:pt>
                <c:pt idx="70">
                  <c:v>Z071</c:v>
                </c:pt>
                <c:pt idx="71">
                  <c:v>Z072</c:v>
                </c:pt>
                <c:pt idx="72">
                  <c:v>Z073</c:v>
                </c:pt>
                <c:pt idx="73">
                  <c:v>Z074</c:v>
                </c:pt>
                <c:pt idx="74">
                  <c:v>Z075</c:v>
                </c:pt>
                <c:pt idx="75">
                  <c:v>Z076</c:v>
                </c:pt>
                <c:pt idx="76">
                  <c:v>Z077</c:v>
                </c:pt>
                <c:pt idx="77">
                  <c:v>Z078</c:v>
                </c:pt>
                <c:pt idx="78">
                  <c:v>Z079</c:v>
                </c:pt>
                <c:pt idx="79">
                  <c:v>Z080</c:v>
                </c:pt>
                <c:pt idx="80">
                  <c:v>Z081</c:v>
                </c:pt>
                <c:pt idx="81">
                  <c:v>Z082</c:v>
                </c:pt>
                <c:pt idx="82">
                  <c:v>Z083</c:v>
                </c:pt>
                <c:pt idx="83">
                  <c:v>Z084</c:v>
                </c:pt>
                <c:pt idx="84">
                  <c:v>Z085</c:v>
                </c:pt>
                <c:pt idx="85">
                  <c:v>Z086</c:v>
                </c:pt>
                <c:pt idx="86">
                  <c:v>Z087</c:v>
                </c:pt>
                <c:pt idx="87">
                  <c:v>Z088</c:v>
                </c:pt>
                <c:pt idx="88">
                  <c:v>Z089</c:v>
                </c:pt>
                <c:pt idx="89">
                  <c:v>Z090</c:v>
                </c:pt>
                <c:pt idx="90">
                  <c:v>Z091</c:v>
                </c:pt>
                <c:pt idx="91">
                  <c:v>Z092</c:v>
                </c:pt>
                <c:pt idx="92">
                  <c:v>Z093</c:v>
                </c:pt>
                <c:pt idx="93">
                  <c:v>Z094</c:v>
                </c:pt>
                <c:pt idx="94">
                  <c:v>Z095</c:v>
                </c:pt>
                <c:pt idx="95">
                  <c:v>Z096</c:v>
                </c:pt>
                <c:pt idx="96">
                  <c:v>Z097</c:v>
                </c:pt>
                <c:pt idx="97">
                  <c:v>Z098</c:v>
                </c:pt>
                <c:pt idx="98">
                  <c:v>Z099</c:v>
                </c:pt>
                <c:pt idx="99">
                  <c:v>Z100</c:v>
                </c:pt>
                <c:pt idx="100">
                  <c:v>Z101</c:v>
                </c:pt>
                <c:pt idx="101">
                  <c:v>Z102</c:v>
                </c:pt>
                <c:pt idx="102">
                  <c:v>Z103</c:v>
                </c:pt>
                <c:pt idx="103">
                  <c:v>Z104</c:v>
                </c:pt>
                <c:pt idx="104">
                  <c:v>Z105</c:v>
                </c:pt>
                <c:pt idx="105">
                  <c:v>Z106</c:v>
                </c:pt>
                <c:pt idx="106">
                  <c:v>Z107</c:v>
                </c:pt>
                <c:pt idx="107">
                  <c:v>Z108</c:v>
                </c:pt>
                <c:pt idx="108">
                  <c:v>Z109</c:v>
                </c:pt>
                <c:pt idx="109">
                  <c:v>Z110</c:v>
                </c:pt>
                <c:pt idx="110">
                  <c:v>Z111</c:v>
                </c:pt>
                <c:pt idx="111">
                  <c:v>Z112</c:v>
                </c:pt>
                <c:pt idx="112">
                  <c:v>Z113</c:v>
                </c:pt>
                <c:pt idx="113">
                  <c:v>Z114</c:v>
                </c:pt>
                <c:pt idx="114">
                  <c:v>Z115</c:v>
                </c:pt>
                <c:pt idx="115">
                  <c:v>Z116</c:v>
                </c:pt>
                <c:pt idx="116">
                  <c:v>Z117</c:v>
                </c:pt>
                <c:pt idx="117">
                  <c:v>Z118</c:v>
                </c:pt>
                <c:pt idx="118">
                  <c:v>Z119</c:v>
                </c:pt>
                <c:pt idx="119">
                  <c:v>Z120</c:v>
                </c:pt>
              </c:strCache>
            </c:strRef>
          </c:cat>
          <c:val>
            <c:numRef>
              <c:f>Sheet3!$B$4:$B$124</c:f>
              <c:numCache>
                <c:formatCode>General</c:formatCode>
                <c:ptCount val="120"/>
                <c:pt idx="0">
                  <c:v>16.36073423782921</c:v>
                </c:pt>
                <c:pt idx="1">
                  <c:v>4.3354037267080754</c:v>
                </c:pt>
                <c:pt idx="2">
                  <c:v>4.9401197604790434</c:v>
                </c:pt>
                <c:pt idx="3">
                  <c:v>7.2062591508052707</c:v>
                </c:pt>
                <c:pt idx="4">
                  <c:v>6.635662431941924</c:v>
                </c:pt>
                <c:pt idx="5">
                  <c:v>3.890641430073607</c:v>
                </c:pt>
                <c:pt idx="6">
                  <c:v>14.78260869565217</c:v>
                </c:pt>
                <c:pt idx="7">
                  <c:v>7.4350604250590351</c:v>
                </c:pt>
                <c:pt idx="8">
                  <c:v>16.311592138991742</c:v>
                </c:pt>
                <c:pt idx="9">
                  <c:v>15.12605042016807</c:v>
                </c:pt>
                <c:pt idx="10">
                  <c:v>9.1485172880521723</c:v>
                </c:pt>
                <c:pt idx="11">
                  <c:v>3.582502768549281</c:v>
                </c:pt>
                <c:pt idx="12">
                  <c:v>4.548974061169182</c:v>
                </c:pt>
                <c:pt idx="13">
                  <c:v>7.0896180647437594</c:v>
                </c:pt>
                <c:pt idx="14">
                  <c:v>7.425114182335844</c:v>
                </c:pt>
                <c:pt idx="15">
                  <c:v>6.8977594643317026</c:v>
                </c:pt>
                <c:pt idx="16">
                  <c:v>9.3364641236981658</c:v>
                </c:pt>
                <c:pt idx="17">
                  <c:v>14.337952270977681</c:v>
                </c:pt>
                <c:pt idx="18">
                  <c:v>3.9872971065631622</c:v>
                </c:pt>
                <c:pt idx="19">
                  <c:v>7.183676754668384</c:v>
                </c:pt>
                <c:pt idx="20">
                  <c:v>6.5207925103418241</c:v>
                </c:pt>
                <c:pt idx="21">
                  <c:v>7.5416373445930089</c:v>
                </c:pt>
                <c:pt idx="22">
                  <c:v>12.727433315668611</c:v>
                </c:pt>
                <c:pt idx="23">
                  <c:v>5.8889678562753573</c:v>
                </c:pt>
                <c:pt idx="24">
                  <c:v>6.6560424966799472</c:v>
                </c:pt>
                <c:pt idx="25">
                  <c:v>7.9949743742847188</c:v>
                </c:pt>
                <c:pt idx="26">
                  <c:v>7.8018018018018029</c:v>
                </c:pt>
                <c:pt idx="27">
                  <c:v>4.0462427745664744</c:v>
                </c:pt>
                <c:pt idx="28">
                  <c:v>8.9146514935988606</c:v>
                </c:pt>
                <c:pt idx="29">
                  <c:v>6.6144939965694682</c:v>
                </c:pt>
                <c:pt idx="30">
                  <c:v>10.46188370846731</c:v>
                </c:pt>
                <c:pt idx="31">
                  <c:v>11.58959537572254</c:v>
                </c:pt>
                <c:pt idx="32">
                  <c:v>14.81597005614473</c:v>
                </c:pt>
                <c:pt idx="33">
                  <c:v>5.7154605263157894</c:v>
                </c:pt>
                <c:pt idx="34">
                  <c:v>6.0862596263679567</c:v>
                </c:pt>
                <c:pt idx="35">
                  <c:v>17.2562893081761</c:v>
                </c:pt>
                <c:pt idx="36">
                  <c:v>6.3995564663835172</c:v>
                </c:pt>
                <c:pt idx="37">
                  <c:v>6.5779636701622506</c:v>
                </c:pt>
                <c:pt idx="38">
                  <c:v>13.374952705259171</c:v>
                </c:pt>
                <c:pt idx="39">
                  <c:v>5.1822293163075281</c:v>
                </c:pt>
                <c:pt idx="40">
                  <c:v>12.14294702403423</c:v>
                </c:pt>
                <c:pt idx="41">
                  <c:v>5.0418814432989683</c:v>
                </c:pt>
                <c:pt idx="42">
                  <c:v>7.3598880939277196</c:v>
                </c:pt>
                <c:pt idx="43">
                  <c:v>7.8343548640578344</c:v>
                </c:pt>
                <c:pt idx="44">
                  <c:v>19.34835076427996</c:v>
                </c:pt>
                <c:pt idx="45">
                  <c:v>3.9456248572081338</c:v>
                </c:pt>
                <c:pt idx="46">
                  <c:v>6.5711991434689514</c:v>
                </c:pt>
                <c:pt idx="47">
                  <c:v>5.9588159588159586</c:v>
                </c:pt>
                <c:pt idx="48">
                  <c:v>7.8111779637115726</c:v>
                </c:pt>
                <c:pt idx="49">
                  <c:v>4.4490216271884657</c:v>
                </c:pt>
                <c:pt idx="50">
                  <c:v>4.3720657276995301</c:v>
                </c:pt>
                <c:pt idx="51">
                  <c:v>16.2602778565353</c:v>
                </c:pt>
                <c:pt idx="52">
                  <c:v>11.64299560865609</c:v>
                </c:pt>
                <c:pt idx="53">
                  <c:v>6.1860888933886802</c:v>
                </c:pt>
                <c:pt idx="54">
                  <c:v>9.4159966144731264</c:v>
                </c:pt>
                <c:pt idx="55">
                  <c:v>18.370986920332939</c:v>
                </c:pt>
                <c:pt idx="56">
                  <c:v>6.2548232751967889</c:v>
                </c:pt>
                <c:pt idx="57">
                  <c:v>13.05035372451103</c:v>
                </c:pt>
                <c:pt idx="58">
                  <c:v>4.3540945790080734</c:v>
                </c:pt>
                <c:pt idx="59">
                  <c:v>4.853869878102512</c:v>
                </c:pt>
                <c:pt idx="60">
                  <c:v>3.8087520259319292</c:v>
                </c:pt>
                <c:pt idx="61">
                  <c:v>4.4244704570791527</c:v>
                </c:pt>
                <c:pt idx="62">
                  <c:v>11.99391933497537</c:v>
                </c:pt>
                <c:pt idx="63">
                  <c:v>3.562255723059744</c:v>
                </c:pt>
                <c:pt idx="64">
                  <c:v>11.18059299191375</c:v>
                </c:pt>
                <c:pt idx="65">
                  <c:v>7.963465106322249</c:v>
                </c:pt>
                <c:pt idx="66">
                  <c:v>6.1633436985549661</c:v>
                </c:pt>
                <c:pt idx="67">
                  <c:v>11.662000605326879</c:v>
                </c:pt>
                <c:pt idx="68">
                  <c:v>25.264750378214821</c:v>
                </c:pt>
                <c:pt idx="69">
                  <c:v>6.1546840958605662</c:v>
                </c:pt>
                <c:pt idx="70">
                  <c:v>6.8489054991991454</c:v>
                </c:pt>
                <c:pt idx="71">
                  <c:v>12.204671256919131</c:v>
                </c:pt>
                <c:pt idx="72">
                  <c:v>6.3806918116083642</c:v>
                </c:pt>
                <c:pt idx="73">
                  <c:v>19.75386779184247</c:v>
                </c:pt>
                <c:pt idx="74">
                  <c:v>4.7012599918710212</c:v>
                </c:pt>
                <c:pt idx="75">
                  <c:v>9.8298236071178806</c:v>
                </c:pt>
                <c:pt idx="76">
                  <c:v>8.3030893157475436</c:v>
                </c:pt>
                <c:pt idx="77">
                  <c:v>10.67924528301887</c:v>
                </c:pt>
                <c:pt idx="78">
                  <c:v>6.1348798190903464</c:v>
                </c:pt>
                <c:pt idx="79">
                  <c:v>7.7638125163655411</c:v>
                </c:pt>
                <c:pt idx="80">
                  <c:v>3.7481259370314839</c:v>
                </c:pt>
                <c:pt idx="81">
                  <c:v>6.637596899224806</c:v>
                </c:pt>
                <c:pt idx="82">
                  <c:v>12.37373737373737</c:v>
                </c:pt>
                <c:pt idx="83">
                  <c:v>4</c:v>
                </c:pt>
                <c:pt idx="84">
                  <c:v>4.9292827851703072</c:v>
                </c:pt>
                <c:pt idx="85">
                  <c:v>7.3486014512041287</c:v>
                </c:pt>
                <c:pt idx="86">
                  <c:v>22.662984350154819</c:v>
                </c:pt>
                <c:pt idx="87">
                  <c:v>8.0497569345152975</c:v>
                </c:pt>
                <c:pt idx="88">
                  <c:v>4.3626707132018199</c:v>
                </c:pt>
                <c:pt idx="89">
                  <c:v>6.6411342894393748</c:v>
                </c:pt>
                <c:pt idx="90">
                  <c:v>7.400497512437811</c:v>
                </c:pt>
                <c:pt idx="91">
                  <c:v>4.4382470119521908</c:v>
                </c:pt>
                <c:pt idx="92">
                  <c:v>6.6457420826352864</c:v>
                </c:pt>
                <c:pt idx="93">
                  <c:v>7.218683651804672</c:v>
                </c:pt>
                <c:pt idx="94">
                  <c:v>6.2333919682622847</c:v>
                </c:pt>
                <c:pt idx="95">
                  <c:v>9.5300423834455223</c:v>
                </c:pt>
                <c:pt idx="96">
                  <c:v>14.720634841414419</c:v>
                </c:pt>
                <c:pt idx="97">
                  <c:v>4.7391725473917257</c:v>
                </c:pt>
                <c:pt idx="98">
                  <c:v>5.5828077551973836</c:v>
                </c:pt>
                <c:pt idx="99">
                  <c:v>14.26005747126437</c:v>
                </c:pt>
                <c:pt idx="100">
                  <c:v>6.3702241130132107</c:v>
                </c:pt>
                <c:pt idx="101">
                  <c:v>11.061946902654871</c:v>
                </c:pt>
                <c:pt idx="102">
                  <c:v>6.7927083333333336</c:v>
                </c:pt>
                <c:pt idx="103">
                  <c:v>30.672672672672672</c:v>
                </c:pt>
                <c:pt idx="104">
                  <c:v>4.2972536348949921</c:v>
                </c:pt>
                <c:pt idx="105">
                  <c:v>6.7811430076376089</c:v>
                </c:pt>
                <c:pt idx="106">
                  <c:v>4.7881773399014778</c:v>
                </c:pt>
                <c:pt idx="107">
                  <c:v>5.2848101265822782</c:v>
                </c:pt>
                <c:pt idx="108">
                  <c:v>9.6650236720928717</c:v>
                </c:pt>
                <c:pt idx="109">
                  <c:v>4.673573723024024</c:v>
                </c:pt>
                <c:pt idx="110">
                  <c:v>13.6438809261301</c:v>
                </c:pt>
                <c:pt idx="111">
                  <c:v>4.1132075471698117</c:v>
                </c:pt>
                <c:pt idx="112">
                  <c:v>8.7512844695316776</c:v>
                </c:pt>
                <c:pt idx="113">
                  <c:v>6.8728522336769764</c:v>
                </c:pt>
                <c:pt idx="114">
                  <c:v>9.6461036095666746</c:v>
                </c:pt>
                <c:pt idx="115">
                  <c:v>8.6850649350649345</c:v>
                </c:pt>
                <c:pt idx="116">
                  <c:v>21.045751633986931</c:v>
                </c:pt>
                <c:pt idx="117">
                  <c:v>13.79504504504505</c:v>
                </c:pt>
                <c:pt idx="118">
                  <c:v>9.7854255208873226</c:v>
                </c:pt>
                <c:pt idx="119">
                  <c:v>16.151426401995881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2-4DCC-847C-D48CC57C17EE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total_sessions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E28A-41C9-BAA0-DA29173851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E28A-41C9-BAA0-DA29173851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E28A-41C9-BAA0-DA29173851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E28A-41C9-BAA0-DA29173851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E28A-41C9-BAA0-DA29173851E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E28A-41C9-BAA0-DA29173851E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E28A-41C9-BAA0-DA29173851E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E28A-41C9-BAA0-DA29173851E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E28A-41C9-BAA0-DA29173851E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E28A-41C9-BAA0-DA29173851E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E28A-41C9-BAA0-DA29173851E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E28A-41C9-BAA0-DA29173851E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E28A-41C9-BAA0-DA29173851E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E28A-41C9-BAA0-DA29173851E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E28A-41C9-BAA0-DA29173851E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E28A-41C9-BAA0-DA29173851E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E28A-41C9-BAA0-DA29173851E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E28A-41C9-BAA0-DA29173851E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E28A-41C9-BAA0-DA29173851E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E28A-41C9-BAA0-DA29173851E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E28A-41C9-BAA0-DA29173851E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E28A-41C9-BAA0-DA29173851E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E28A-41C9-BAA0-DA29173851E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E28A-41C9-BAA0-DA29173851E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E28A-41C9-BAA0-DA29173851E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E28A-41C9-BAA0-DA29173851E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E28A-41C9-BAA0-DA29173851E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E28A-41C9-BAA0-DA29173851E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E28A-41C9-BAA0-DA29173851E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E28A-41C9-BAA0-DA29173851E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E28A-41C9-BAA0-DA29173851E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E28A-41C9-BAA0-DA29173851E6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E28A-41C9-BAA0-DA29173851E6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E28A-41C9-BAA0-DA29173851E6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E28A-41C9-BAA0-DA29173851E6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E28A-41C9-BAA0-DA29173851E6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E28A-41C9-BAA0-DA29173851E6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E28A-41C9-BAA0-DA29173851E6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E28A-41C9-BAA0-DA29173851E6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E28A-41C9-BAA0-DA29173851E6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E28A-41C9-BAA0-DA29173851E6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E28A-41C9-BAA0-DA29173851E6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E28A-41C9-BAA0-DA29173851E6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E28A-41C9-BAA0-DA29173851E6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E28A-41C9-BAA0-DA29173851E6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E28A-41C9-BAA0-DA29173851E6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E28A-41C9-BAA0-DA29173851E6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E28A-41C9-BAA0-DA29173851E6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E28A-41C9-BAA0-DA29173851E6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E28A-41C9-BAA0-DA29173851E6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E28A-41C9-BAA0-DA29173851E6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E28A-41C9-BAA0-DA29173851E6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E28A-41C9-BAA0-DA29173851E6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E28A-41C9-BAA0-DA29173851E6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E28A-41C9-BAA0-DA29173851E6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E28A-41C9-BAA0-DA29173851E6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E28A-41C9-BAA0-DA29173851E6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E28A-41C9-BAA0-DA29173851E6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E28A-41C9-BAA0-DA29173851E6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E28A-41C9-BAA0-DA29173851E6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E28A-41C9-BAA0-DA29173851E6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E28A-41C9-BAA0-DA29173851E6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E28A-41C9-BAA0-DA29173851E6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E28A-41C9-BAA0-DA29173851E6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E28A-41C9-BAA0-DA29173851E6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E28A-41C9-BAA0-DA29173851E6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E28A-41C9-BAA0-DA29173851E6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E28A-41C9-BAA0-DA29173851E6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E28A-41C9-BAA0-DA29173851E6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E28A-41C9-BAA0-DA29173851E6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E28A-41C9-BAA0-DA29173851E6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E28A-41C9-BAA0-DA29173851E6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E28A-41C9-BAA0-DA29173851E6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E28A-41C9-BAA0-DA29173851E6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E28A-41C9-BAA0-DA29173851E6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E28A-41C9-BAA0-DA29173851E6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E28A-41C9-BAA0-DA29173851E6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E28A-41C9-BAA0-DA29173851E6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E28A-41C9-BAA0-DA29173851E6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E28A-41C9-BAA0-DA29173851E6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E28A-41C9-BAA0-DA29173851E6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E28A-41C9-BAA0-DA29173851E6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E28A-41C9-BAA0-DA29173851E6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E28A-41C9-BAA0-DA29173851E6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E28A-41C9-BAA0-DA29173851E6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E28A-41C9-BAA0-DA29173851E6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E28A-41C9-BAA0-DA29173851E6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E28A-41C9-BAA0-DA29173851E6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E28A-41C9-BAA0-DA29173851E6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E28A-41C9-BAA0-DA29173851E6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E28A-41C9-BAA0-DA29173851E6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E28A-41C9-BAA0-DA29173851E6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E28A-41C9-BAA0-DA29173851E6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E28A-41C9-BAA0-DA29173851E6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E28A-41C9-BAA0-DA29173851E6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E28A-41C9-BAA0-DA29173851E6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E28A-41C9-BAA0-DA29173851E6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E28A-41C9-BAA0-DA29173851E6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E28A-41C9-BAA0-DA29173851E6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E28A-41C9-BAA0-DA29173851E6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E28A-41C9-BAA0-DA29173851E6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E28A-41C9-BAA0-DA29173851E6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E28A-41C9-BAA0-DA29173851E6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E28A-41C9-BAA0-DA29173851E6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E28A-41C9-BAA0-DA29173851E6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E28A-41C9-BAA0-DA29173851E6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E28A-41C9-BAA0-DA29173851E6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E28A-41C9-BAA0-DA29173851E6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E28A-41C9-BAA0-DA29173851E6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E28A-41C9-BAA0-DA29173851E6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E28A-41C9-BAA0-DA29173851E6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E28A-41C9-BAA0-DA29173851E6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E28A-41C9-BAA0-DA29173851E6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E28A-41C9-BAA0-DA29173851E6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E28A-41C9-BAA0-DA29173851E6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E28A-41C9-BAA0-DA29173851E6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E28A-41C9-BAA0-DA29173851E6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E28A-41C9-BAA0-DA29173851E6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E28A-41C9-BAA0-DA29173851E6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E28A-41C9-BAA0-DA29173851E6}"/>
              </c:ext>
            </c:extLst>
          </c:dPt>
          <c:cat>
            <c:strRef>
              <c:f>Sheet3!$A$4:$A$124</c:f>
              <c:strCache>
                <c:ptCount val="120"/>
                <c:pt idx="0">
                  <c:v>Z001</c:v>
                </c:pt>
                <c:pt idx="1">
                  <c:v>Z002</c:v>
                </c:pt>
                <c:pt idx="2">
                  <c:v>Z003</c:v>
                </c:pt>
                <c:pt idx="3">
                  <c:v>Z004</c:v>
                </c:pt>
                <c:pt idx="4">
                  <c:v>Z005</c:v>
                </c:pt>
                <c:pt idx="5">
                  <c:v>Z006</c:v>
                </c:pt>
                <c:pt idx="6">
                  <c:v>Z007</c:v>
                </c:pt>
                <c:pt idx="7">
                  <c:v>Z008</c:v>
                </c:pt>
                <c:pt idx="8">
                  <c:v>Z009</c:v>
                </c:pt>
                <c:pt idx="9">
                  <c:v>Z010</c:v>
                </c:pt>
                <c:pt idx="10">
                  <c:v>Z011</c:v>
                </c:pt>
                <c:pt idx="11">
                  <c:v>Z012</c:v>
                </c:pt>
                <c:pt idx="12">
                  <c:v>Z013</c:v>
                </c:pt>
                <c:pt idx="13">
                  <c:v>Z014</c:v>
                </c:pt>
                <c:pt idx="14">
                  <c:v>Z015</c:v>
                </c:pt>
                <c:pt idx="15">
                  <c:v>Z016</c:v>
                </c:pt>
                <c:pt idx="16">
                  <c:v>Z017</c:v>
                </c:pt>
                <c:pt idx="17">
                  <c:v>Z018</c:v>
                </c:pt>
                <c:pt idx="18">
                  <c:v>Z019</c:v>
                </c:pt>
                <c:pt idx="19">
                  <c:v>Z020</c:v>
                </c:pt>
                <c:pt idx="20">
                  <c:v>Z021</c:v>
                </c:pt>
                <c:pt idx="21">
                  <c:v>Z022</c:v>
                </c:pt>
                <c:pt idx="22">
                  <c:v>Z023</c:v>
                </c:pt>
                <c:pt idx="23">
                  <c:v>Z024</c:v>
                </c:pt>
                <c:pt idx="24">
                  <c:v>Z025</c:v>
                </c:pt>
                <c:pt idx="25">
                  <c:v>Z026</c:v>
                </c:pt>
                <c:pt idx="26">
                  <c:v>Z027</c:v>
                </c:pt>
                <c:pt idx="27">
                  <c:v>Z028</c:v>
                </c:pt>
                <c:pt idx="28">
                  <c:v>Z029</c:v>
                </c:pt>
                <c:pt idx="29">
                  <c:v>Z030</c:v>
                </c:pt>
                <c:pt idx="30">
                  <c:v>Z031</c:v>
                </c:pt>
                <c:pt idx="31">
                  <c:v>Z032</c:v>
                </c:pt>
                <c:pt idx="32">
                  <c:v>Z033</c:v>
                </c:pt>
                <c:pt idx="33">
                  <c:v>Z034</c:v>
                </c:pt>
                <c:pt idx="34">
                  <c:v>Z035</c:v>
                </c:pt>
                <c:pt idx="35">
                  <c:v>Z036</c:v>
                </c:pt>
                <c:pt idx="36">
                  <c:v>Z037</c:v>
                </c:pt>
                <c:pt idx="37">
                  <c:v>Z038</c:v>
                </c:pt>
                <c:pt idx="38">
                  <c:v>Z039</c:v>
                </c:pt>
                <c:pt idx="39">
                  <c:v>Z040</c:v>
                </c:pt>
                <c:pt idx="40">
                  <c:v>Z041</c:v>
                </c:pt>
                <c:pt idx="41">
                  <c:v>Z042</c:v>
                </c:pt>
                <c:pt idx="42">
                  <c:v>Z043</c:v>
                </c:pt>
                <c:pt idx="43">
                  <c:v>Z044</c:v>
                </c:pt>
                <c:pt idx="44">
                  <c:v>Z045</c:v>
                </c:pt>
                <c:pt idx="45">
                  <c:v>Z046</c:v>
                </c:pt>
                <c:pt idx="46">
                  <c:v>Z047</c:v>
                </c:pt>
                <c:pt idx="47">
                  <c:v>Z048</c:v>
                </c:pt>
                <c:pt idx="48">
                  <c:v>Z049</c:v>
                </c:pt>
                <c:pt idx="49">
                  <c:v>Z050</c:v>
                </c:pt>
                <c:pt idx="50">
                  <c:v>Z051</c:v>
                </c:pt>
                <c:pt idx="51">
                  <c:v>Z052</c:v>
                </c:pt>
                <c:pt idx="52">
                  <c:v>Z053</c:v>
                </c:pt>
                <c:pt idx="53">
                  <c:v>Z054</c:v>
                </c:pt>
                <c:pt idx="54">
                  <c:v>Z055</c:v>
                </c:pt>
                <c:pt idx="55">
                  <c:v>Z056</c:v>
                </c:pt>
                <c:pt idx="56">
                  <c:v>Z057</c:v>
                </c:pt>
                <c:pt idx="57">
                  <c:v>Z058</c:v>
                </c:pt>
                <c:pt idx="58">
                  <c:v>Z059</c:v>
                </c:pt>
                <c:pt idx="59">
                  <c:v>Z060</c:v>
                </c:pt>
                <c:pt idx="60">
                  <c:v>Z061</c:v>
                </c:pt>
                <c:pt idx="61">
                  <c:v>Z062</c:v>
                </c:pt>
                <c:pt idx="62">
                  <c:v>Z063</c:v>
                </c:pt>
                <c:pt idx="63">
                  <c:v>Z064</c:v>
                </c:pt>
                <c:pt idx="64">
                  <c:v>Z065</c:v>
                </c:pt>
                <c:pt idx="65">
                  <c:v>Z066</c:v>
                </c:pt>
                <c:pt idx="66">
                  <c:v>Z067</c:v>
                </c:pt>
                <c:pt idx="67">
                  <c:v>Z068</c:v>
                </c:pt>
                <c:pt idx="68">
                  <c:v>Z069</c:v>
                </c:pt>
                <c:pt idx="69">
                  <c:v>Z070</c:v>
                </c:pt>
                <c:pt idx="70">
                  <c:v>Z071</c:v>
                </c:pt>
                <c:pt idx="71">
                  <c:v>Z072</c:v>
                </c:pt>
                <c:pt idx="72">
                  <c:v>Z073</c:v>
                </c:pt>
                <c:pt idx="73">
                  <c:v>Z074</c:v>
                </c:pt>
                <c:pt idx="74">
                  <c:v>Z075</c:v>
                </c:pt>
                <c:pt idx="75">
                  <c:v>Z076</c:v>
                </c:pt>
                <c:pt idx="76">
                  <c:v>Z077</c:v>
                </c:pt>
                <c:pt idx="77">
                  <c:v>Z078</c:v>
                </c:pt>
                <c:pt idx="78">
                  <c:v>Z079</c:v>
                </c:pt>
                <c:pt idx="79">
                  <c:v>Z080</c:v>
                </c:pt>
                <c:pt idx="80">
                  <c:v>Z081</c:v>
                </c:pt>
                <c:pt idx="81">
                  <c:v>Z082</c:v>
                </c:pt>
                <c:pt idx="82">
                  <c:v>Z083</c:v>
                </c:pt>
                <c:pt idx="83">
                  <c:v>Z084</c:v>
                </c:pt>
                <c:pt idx="84">
                  <c:v>Z085</c:v>
                </c:pt>
                <c:pt idx="85">
                  <c:v>Z086</c:v>
                </c:pt>
                <c:pt idx="86">
                  <c:v>Z087</c:v>
                </c:pt>
                <c:pt idx="87">
                  <c:v>Z088</c:v>
                </c:pt>
                <c:pt idx="88">
                  <c:v>Z089</c:v>
                </c:pt>
                <c:pt idx="89">
                  <c:v>Z090</c:v>
                </c:pt>
                <c:pt idx="90">
                  <c:v>Z091</c:v>
                </c:pt>
                <c:pt idx="91">
                  <c:v>Z092</c:v>
                </c:pt>
                <c:pt idx="92">
                  <c:v>Z093</c:v>
                </c:pt>
                <c:pt idx="93">
                  <c:v>Z094</c:v>
                </c:pt>
                <c:pt idx="94">
                  <c:v>Z095</c:v>
                </c:pt>
                <c:pt idx="95">
                  <c:v>Z096</c:v>
                </c:pt>
                <c:pt idx="96">
                  <c:v>Z097</c:v>
                </c:pt>
                <c:pt idx="97">
                  <c:v>Z098</c:v>
                </c:pt>
                <c:pt idx="98">
                  <c:v>Z099</c:v>
                </c:pt>
                <c:pt idx="99">
                  <c:v>Z100</c:v>
                </c:pt>
                <c:pt idx="100">
                  <c:v>Z101</c:v>
                </c:pt>
                <c:pt idx="101">
                  <c:v>Z102</c:v>
                </c:pt>
                <c:pt idx="102">
                  <c:v>Z103</c:v>
                </c:pt>
                <c:pt idx="103">
                  <c:v>Z104</c:v>
                </c:pt>
                <c:pt idx="104">
                  <c:v>Z105</c:v>
                </c:pt>
                <c:pt idx="105">
                  <c:v>Z106</c:v>
                </c:pt>
                <c:pt idx="106">
                  <c:v>Z107</c:v>
                </c:pt>
                <c:pt idx="107">
                  <c:v>Z108</c:v>
                </c:pt>
                <c:pt idx="108">
                  <c:v>Z109</c:v>
                </c:pt>
                <c:pt idx="109">
                  <c:v>Z110</c:v>
                </c:pt>
                <c:pt idx="110">
                  <c:v>Z111</c:v>
                </c:pt>
                <c:pt idx="111">
                  <c:v>Z112</c:v>
                </c:pt>
                <c:pt idx="112">
                  <c:v>Z113</c:v>
                </c:pt>
                <c:pt idx="113">
                  <c:v>Z114</c:v>
                </c:pt>
                <c:pt idx="114">
                  <c:v>Z115</c:v>
                </c:pt>
                <c:pt idx="115">
                  <c:v>Z116</c:v>
                </c:pt>
                <c:pt idx="116">
                  <c:v>Z117</c:v>
                </c:pt>
                <c:pt idx="117">
                  <c:v>Z118</c:v>
                </c:pt>
                <c:pt idx="118">
                  <c:v>Z119</c:v>
                </c:pt>
                <c:pt idx="119">
                  <c:v>Z120</c:v>
                </c:pt>
              </c:strCache>
            </c:strRef>
          </c:cat>
          <c:val>
            <c:numRef>
              <c:f>Sheet3!$C$4:$C$124</c:f>
              <c:numCache>
                <c:formatCode>General</c:formatCode>
                <c:ptCount val="120"/>
                <c:pt idx="0">
                  <c:v>429</c:v>
                </c:pt>
                <c:pt idx="1">
                  <c:v>198</c:v>
                </c:pt>
                <c:pt idx="2">
                  <c:v>192</c:v>
                </c:pt>
                <c:pt idx="3">
                  <c:v>441</c:v>
                </c:pt>
                <c:pt idx="4">
                  <c:v>165</c:v>
                </c:pt>
                <c:pt idx="5">
                  <c:v>180</c:v>
                </c:pt>
                <c:pt idx="6">
                  <c:v>130</c:v>
                </c:pt>
                <c:pt idx="7">
                  <c:v>1808</c:v>
                </c:pt>
                <c:pt idx="8">
                  <c:v>1594</c:v>
                </c:pt>
                <c:pt idx="9">
                  <c:v>142</c:v>
                </c:pt>
                <c:pt idx="10">
                  <c:v>1663</c:v>
                </c:pt>
                <c:pt idx="11">
                  <c:v>179</c:v>
                </c:pt>
                <c:pt idx="12">
                  <c:v>253</c:v>
                </c:pt>
                <c:pt idx="13">
                  <c:v>1819</c:v>
                </c:pt>
                <c:pt idx="14">
                  <c:v>1771</c:v>
                </c:pt>
                <c:pt idx="15">
                  <c:v>1858</c:v>
                </c:pt>
                <c:pt idx="16">
                  <c:v>1642</c:v>
                </c:pt>
                <c:pt idx="17">
                  <c:v>438</c:v>
                </c:pt>
                <c:pt idx="18">
                  <c:v>164</c:v>
                </c:pt>
                <c:pt idx="19">
                  <c:v>504</c:v>
                </c:pt>
                <c:pt idx="20">
                  <c:v>499</c:v>
                </c:pt>
                <c:pt idx="21">
                  <c:v>172</c:v>
                </c:pt>
                <c:pt idx="22">
                  <c:v>399</c:v>
                </c:pt>
                <c:pt idx="23">
                  <c:v>1848</c:v>
                </c:pt>
                <c:pt idx="24">
                  <c:v>1769</c:v>
                </c:pt>
                <c:pt idx="25">
                  <c:v>1807</c:v>
                </c:pt>
                <c:pt idx="26">
                  <c:v>498</c:v>
                </c:pt>
                <c:pt idx="27">
                  <c:v>152</c:v>
                </c:pt>
                <c:pt idx="28">
                  <c:v>1757</c:v>
                </c:pt>
                <c:pt idx="29">
                  <c:v>172</c:v>
                </c:pt>
                <c:pt idx="30">
                  <c:v>1743</c:v>
                </c:pt>
                <c:pt idx="31">
                  <c:v>446</c:v>
                </c:pt>
                <c:pt idx="32">
                  <c:v>139</c:v>
                </c:pt>
                <c:pt idx="33">
                  <c:v>179</c:v>
                </c:pt>
                <c:pt idx="34">
                  <c:v>1849</c:v>
                </c:pt>
                <c:pt idx="35">
                  <c:v>119</c:v>
                </c:pt>
                <c:pt idx="36">
                  <c:v>1799</c:v>
                </c:pt>
                <c:pt idx="37">
                  <c:v>1815</c:v>
                </c:pt>
                <c:pt idx="38">
                  <c:v>1563</c:v>
                </c:pt>
                <c:pt idx="39">
                  <c:v>272</c:v>
                </c:pt>
                <c:pt idx="40">
                  <c:v>277</c:v>
                </c:pt>
                <c:pt idx="41">
                  <c:v>508</c:v>
                </c:pt>
                <c:pt idx="42">
                  <c:v>1794</c:v>
                </c:pt>
                <c:pt idx="43">
                  <c:v>273</c:v>
                </c:pt>
                <c:pt idx="44">
                  <c:v>408</c:v>
                </c:pt>
                <c:pt idx="45">
                  <c:v>469</c:v>
                </c:pt>
                <c:pt idx="46">
                  <c:v>136</c:v>
                </c:pt>
                <c:pt idx="47">
                  <c:v>1818</c:v>
                </c:pt>
                <c:pt idx="48">
                  <c:v>1846</c:v>
                </c:pt>
                <c:pt idx="49">
                  <c:v>303</c:v>
                </c:pt>
                <c:pt idx="50">
                  <c:v>169</c:v>
                </c:pt>
                <c:pt idx="51">
                  <c:v>1585</c:v>
                </c:pt>
                <c:pt idx="52">
                  <c:v>1649</c:v>
                </c:pt>
                <c:pt idx="53">
                  <c:v>174</c:v>
                </c:pt>
                <c:pt idx="54">
                  <c:v>1630</c:v>
                </c:pt>
                <c:pt idx="55">
                  <c:v>263</c:v>
                </c:pt>
                <c:pt idx="56">
                  <c:v>450</c:v>
                </c:pt>
                <c:pt idx="57">
                  <c:v>438</c:v>
                </c:pt>
                <c:pt idx="58">
                  <c:v>176</c:v>
                </c:pt>
                <c:pt idx="59">
                  <c:v>183</c:v>
                </c:pt>
                <c:pt idx="60">
                  <c:v>189</c:v>
                </c:pt>
                <c:pt idx="61">
                  <c:v>180</c:v>
                </c:pt>
                <c:pt idx="62">
                  <c:v>1713</c:v>
                </c:pt>
                <c:pt idx="63">
                  <c:v>177</c:v>
                </c:pt>
                <c:pt idx="64">
                  <c:v>1747</c:v>
                </c:pt>
                <c:pt idx="65">
                  <c:v>150</c:v>
                </c:pt>
                <c:pt idx="66">
                  <c:v>1868</c:v>
                </c:pt>
                <c:pt idx="67">
                  <c:v>1715</c:v>
                </c:pt>
                <c:pt idx="68">
                  <c:v>1388</c:v>
                </c:pt>
                <c:pt idx="69">
                  <c:v>184</c:v>
                </c:pt>
                <c:pt idx="70">
                  <c:v>1814</c:v>
                </c:pt>
                <c:pt idx="71">
                  <c:v>258</c:v>
                </c:pt>
                <c:pt idx="72">
                  <c:v>184</c:v>
                </c:pt>
                <c:pt idx="73">
                  <c:v>1577</c:v>
                </c:pt>
                <c:pt idx="74">
                  <c:v>187</c:v>
                </c:pt>
                <c:pt idx="75">
                  <c:v>1795</c:v>
                </c:pt>
                <c:pt idx="76">
                  <c:v>258</c:v>
                </c:pt>
                <c:pt idx="77">
                  <c:v>158</c:v>
                </c:pt>
                <c:pt idx="78">
                  <c:v>465</c:v>
                </c:pt>
                <c:pt idx="79">
                  <c:v>1821</c:v>
                </c:pt>
                <c:pt idx="80">
                  <c:v>184</c:v>
                </c:pt>
                <c:pt idx="81">
                  <c:v>160</c:v>
                </c:pt>
                <c:pt idx="82">
                  <c:v>272</c:v>
                </c:pt>
                <c:pt idx="83">
                  <c:v>163</c:v>
                </c:pt>
                <c:pt idx="84">
                  <c:v>160</c:v>
                </c:pt>
                <c:pt idx="85">
                  <c:v>1783</c:v>
                </c:pt>
                <c:pt idx="86">
                  <c:v>1518</c:v>
                </c:pt>
                <c:pt idx="87">
                  <c:v>161</c:v>
                </c:pt>
                <c:pt idx="88">
                  <c:v>182</c:v>
                </c:pt>
                <c:pt idx="89">
                  <c:v>1847</c:v>
                </c:pt>
                <c:pt idx="90">
                  <c:v>467</c:v>
                </c:pt>
                <c:pt idx="91">
                  <c:v>301</c:v>
                </c:pt>
                <c:pt idx="92">
                  <c:v>1814</c:v>
                </c:pt>
                <c:pt idx="93">
                  <c:v>181</c:v>
                </c:pt>
                <c:pt idx="94">
                  <c:v>1879</c:v>
                </c:pt>
                <c:pt idx="95">
                  <c:v>442</c:v>
                </c:pt>
                <c:pt idx="96">
                  <c:v>1658</c:v>
                </c:pt>
                <c:pt idx="97">
                  <c:v>187</c:v>
                </c:pt>
                <c:pt idx="98">
                  <c:v>464</c:v>
                </c:pt>
                <c:pt idx="99">
                  <c:v>453</c:v>
                </c:pt>
                <c:pt idx="100">
                  <c:v>1752</c:v>
                </c:pt>
                <c:pt idx="101">
                  <c:v>254</c:v>
                </c:pt>
                <c:pt idx="102">
                  <c:v>1818</c:v>
                </c:pt>
                <c:pt idx="103">
                  <c:v>1417</c:v>
                </c:pt>
                <c:pt idx="104">
                  <c:v>175</c:v>
                </c:pt>
                <c:pt idx="105">
                  <c:v>1803</c:v>
                </c:pt>
                <c:pt idx="106">
                  <c:v>479</c:v>
                </c:pt>
                <c:pt idx="107">
                  <c:v>522</c:v>
                </c:pt>
                <c:pt idx="108">
                  <c:v>1669</c:v>
                </c:pt>
                <c:pt idx="109">
                  <c:v>291</c:v>
                </c:pt>
                <c:pt idx="110">
                  <c:v>1675</c:v>
                </c:pt>
                <c:pt idx="111">
                  <c:v>154</c:v>
                </c:pt>
                <c:pt idx="112">
                  <c:v>1746</c:v>
                </c:pt>
                <c:pt idx="113">
                  <c:v>271</c:v>
                </c:pt>
                <c:pt idx="114">
                  <c:v>1817</c:v>
                </c:pt>
                <c:pt idx="115">
                  <c:v>1722</c:v>
                </c:pt>
                <c:pt idx="116">
                  <c:v>132</c:v>
                </c:pt>
                <c:pt idx="117">
                  <c:v>260</c:v>
                </c:pt>
                <c:pt idx="118">
                  <c:v>259</c:v>
                </c:pt>
                <c:pt idx="119">
                  <c:v>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82-4DCC-847C-D48CC57C17EE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max_occupancy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E28A-41C9-BAA0-DA29173851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E28A-41C9-BAA0-DA29173851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E28A-41C9-BAA0-DA29173851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E28A-41C9-BAA0-DA29173851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E28A-41C9-BAA0-DA29173851E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E28A-41C9-BAA0-DA29173851E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E28A-41C9-BAA0-DA29173851E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E28A-41C9-BAA0-DA29173851E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E28A-41C9-BAA0-DA29173851E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E28A-41C9-BAA0-DA29173851E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E28A-41C9-BAA0-DA29173851E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E28A-41C9-BAA0-DA29173851E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E28A-41C9-BAA0-DA29173851E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E28A-41C9-BAA0-DA29173851E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E28A-41C9-BAA0-DA29173851E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E28A-41C9-BAA0-DA29173851E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E28A-41C9-BAA0-DA29173851E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E28A-41C9-BAA0-DA29173851E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E28A-41C9-BAA0-DA29173851E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E28A-41C9-BAA0-DA29173851E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E28A-41C9-BAA0-DA29173851E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E28A-41C9-BAA0-DA29173851E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E28A-41C9-BAA0-DA29173851E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E28A-41C9-BAA0-DA29173851E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E28A-41C9-BAA0-DA29173851E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E28A-41C9-BAA0-DA29173851E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E28A-41C9-BAA0-DA29173851E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E28A-41C9-BAA0-DA29173851E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E28A-41C9-BAA0-DA29173851E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E28A-41C9-BAA0-DA29173851E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E28A-41C9-BAA0-DA29173851E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E28A-41C9-BAA0-DA29173851E6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E28A-41C9-BAA0-DA29173851E6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E28A-41C9-BAA0-DA29173851E6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E28A-41C9-BAA0-DA29173851E6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E28A-41C9-BAA0-DA29173851E6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E28A-41C9-BAA0-DA29173851E6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E28A-41C9-BAA0-DA29173851E6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E28A-41C9-BAA0-DA29173851E6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E28A-41C9-BAA0-DA29173851E6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E28A-41C9-BAA0-DA29173851E6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E28A-41C9-BAA0-DA29173851E6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E28A-41C9-BAA0-DA29173851E6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E28A-41C9-BAA0-DA29173851E6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E28A-41C9-BAA0-DA29173851E6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E28A-41C9-BAA0-DA29173851E6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E28A-41C9-BAA0-DA29173851E6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E28A-41C9-BAA0-DA29173851E6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E28A-41C9-BAA0-DA29173851E6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E28A-41C9-BAA0-DA29173851E6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E28A-41C9-BAA0-DA29173851E6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E28A-41C9-BAA0-DA29173851E6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E28A-41C9-BAA0-DA29173851E6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E28A-41C9-BAA0-DA29173851E6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E28A-41C9-BAA0-DA29173851E6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E28A-41C9-BAA0-DA29173851E6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E28A-41C9-BAA0-DA29173851E6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E28A-41C9-BAA0-DA29173851E6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E28A-41C9-BAA0-DA29173851E6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E28A-41C9-BAA0-DA29173851E6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E28A-41C9-BAA0-DA29173851E6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E28A-41C9-BAA0-DA29173851E6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E28A-41C9-BAA0-DA29173851E6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E28A-41C9-BAA0-DA29173851E6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E28A-41C9-BAA0-DA29173851E6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E28A-41C9-BAA0-DA29173851E6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E28A-41C9-BAA0-DA29173851E6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E28A-41C9-BAA0-DA29173851E6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E28A-41C9-BAA0-DA29173851E6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E28A-41C9-BAA0-DA29173851E6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E28A-41C9-BAA0-DA29173851E6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E28A-41C9-BAA0-DA29173851E6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E28A-41C9-BAA0-DA29173851E6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E28A-41C9-BAA0-DA29173851E6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E28A-41C9-BAA0-DA29173851E6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E28A-41C9-BAA0-DA29173851E6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E28A-41C9-BAA0-DA29173851E6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E28A-41C9-BAA0-DA29173851E6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E28A-41C9-BAA0-DA29173851E6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E28A-41C9-BAA0-DA29173851E6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E28A-41C9-BAA0-DA29173851E6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E28A-41C9-BAA0-DA29173851E6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E28A-41C9-BAA0-DA29173851E6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E28A-41C9-BAA0-DA29173851E6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E28A-41C9-BAA0-DA29173851E6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E28A-41C9-BAA0-DA29173851E6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E28A-41C9-BAA0-DA29173851E6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E28A-41C9-BAA0-DA29173851E6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E28A-41C9-BAA0-DA29173851E6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E28A-41C9-BAA0-DA29173851E6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E28A-41C9-BAA0-DA29173851E6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E28A-41C9-BAA0-DA29173851E6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E28A-41C9-BAA0-DA29173851E6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E28A-41C9-BAA0-DA29173851E6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E28A-41C9-BAA0-DA29173851E6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E28A-41C9-BAA0-DA29173851E6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E28A-41C9-BAA0-DA29173851E6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E28A-41C9-BAA0-DA29173851E6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E28A-41C9-BAA0-DA29173851E6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E28A-41C9-BAA0-DA29173851E6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E28A-41C9-BAA0-DA29173851E6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E28A-41C9-BAA0-DA29173851E6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E28A-41C9-BAA0-DA29173851E6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E28A-41C9-BAA0-DA29173851E6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E28A-41C9-BAA0-DA29173851E6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E28A-41C9-BAA0-DA29173851E6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E28A-41C9-BAA0-DA29173851E6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E28A-41C9-BAA0-DA29173851E6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E28A-41C9-BAA0-DA29173851E6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E28A-41C9-BAA0-DA29173851E6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E28A-41C9-BAA0-DA29173851E6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E28A-41C9-BAA0-DA29173851E6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E28A-41C9-BAA0-DA29173851E6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E28A-41C9-BAA0-DA29173851E6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E28A-41C9-BAA0-DA29173851E6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E28A-41C9-BAA0-DA29173851E6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E28A-41C9-BAA0-DA29173851E6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E28A-41C9-BAA0-DA29173851E6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E28A-41C9-BAA0-DA29173851E6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E28A-41C9-BAA0-DA29173851E6}"/>
              </c:ext>
            </c:extLst>
          </c:dPt>
          <c:cat>
            <c:strRef>
              <c:f>Sheet3!$A$4:$A$124</c:f>
              <c:strCache>
                <c:ptCount val="120"/>
                <c:pt idx="0">
                  <c:v>Z001</c:v>
                </c:pt>
                <c:pt idx="1">
                  <c:v>Z002</c:v>
                </c:pt>
                <c:pt idx="2">
                  <c:v>Z003</c:v>
                </c:pt>
                <c:pt idx="3">
                  <c:v>Z004</c:v>
                </c:pt>
                <c:pt idx="4">
                  <c:v>Z005</c:v>
                </c:pt>
                <c:pt idx="5">
                  <c:v>Z006</c:v>
                </c:pt>
                <c:pt idx="6">
                  <c:v>Z007</c:v>
                </c:pt>
                <c:pt idx="7">
                  <c:v>Z008</c:v>
                </c:pt>
                <c:pt idx="8">
                  <c:v>Z009</c:v>
                </c:pt>
                <c:pt idx="9">
                  <c:v>Z010</c:v>
                </c:pt>
                <c:pt idx="10">
                  <c:v>Z011</c:v>
                </c:pt>
                <c:pt idx="11">
                  <c:v>Z012</c:v>
                </c:pt>
                <c:pt idx="12">
                  <c:v>Z013</c:v>
                </c:pt>
                <c:pt idx="13">
                  <c:v>Z014</c:v>
                </c:pt>
                <c:pt idx="14">
                  <c:v>Z015</c:v>
                </c:pt>
                <c:pt idx="15">
                  <c:v>Z016</c:v>
                </c:pt>
                <c:pt idx="16">
                  <c:v>Z017</c:v>
                </c:pt>
                <c:pt idx="17">
                  <c:v>Z018</c:v>
                </c:pt>
                <c:pt idx="18">
                  <c:v>Z019</c:v>
                </c:pt>
                <c:pt idx="19">
                  <c:v>Z020</c:v>
                </c:pt>
                <c:pt idx="20">
                  <c:v>Z021</c:v>
                </c:pt>
                <c:pt idx="21">
                  <c:v>Z022</c:v>
                </c:pt>
                <c:pt idx="22">
                  <c:v>Z023</c:v>
                </c:pt>
                <c:pt idx="23">
                  <c:v>Z024</c:v>
                </c:pt>
                <c:pt idx="24">
                  <c:v>Z025</c:v>
                </c:pt>
                <c:pt idx="25">
                  <c:v>Z026</c:v>
                </c:pt>
                <c:pt idx="26">
                  <c:v>Z027</c:v>
                </c:pt>
                <c:pt idx="27">
                  <c:v>Z028</c:v>
                </c:pt>
                <c:pt idx="28">
                  <c:v>Z029</c:v>
                </c:pt>
                <c:pt idx="29">
                  <c:v>Z030</c:v>
                </c:pt>
                <c:pt idx="30">
                  <c:v>Z031</c:v>
                </c:pt>
                <c:pt idx="31">
                  <c:v>Z032</c:v>
                </c:pt>
                <c:pt idx="32">
                  <c:v>Z033</c:v>
                </c:pt>
                <c:pt idx="33">
                  <c:v>Z034</c:v>
                </c:pt>
                <c:pt idx="34">
                  <c:v>Z035</c:v>
                </c:pt>
                <c:pt idx="35">
                  <c:v>Z036</c:v>
                </c:pt>
                <c:pt idx="36">
                  <c:v>Z037</c:v>
                </c:pt>
                <c:pt idx="37">
                  <c:v>Z038</c:v>
                </c:pt>
                <c:pt idx="38">
                  <c:v>Z039</c:v>
                </c:pt>
                <c:pt idx="39">
                  <c:v>Z040</c:v>
                </c:pt>
                <c:pt idx="40">
                  <c:v>Z041</c:v>
                </c:pt>
                <c:pt idx="41">
                  <c:v>Z042</c:v>
                </c:pt>
                <c:pt idx="42">
                  <c:v>Z043</c:v>
                </c:pt>
                <c:pt idx="43">
                  <c:v>Z044</c:v>
                </c:pt>
                <c:pt idx="44">
                  <c:v>Z045</c:v>
                </c:pt>
                <c:pt idx="45">
                  <c:v>Z046</c:v>
                </c:pt>
                <c:pt idx="46">
                  <c:v>Z047</c:v>
                </c:pt>
                <c:pt idx="47">
                  <c:v>Z048</c:v>
                </c:pt>
                <c:pt idx="48">
                  <c:v>Z049</c:v>
                </c:pt>
                <c:pt idx="49">
                  <c:v>Z050</c:v>
                </c:pt>
                <c:pt idx="50">
                  <c:v>Z051</c:v>
                </c:pt>
                <c:pt idx="51">
                  <c:v>Z052</c:v>
                </c:pt>
                <c:pt idx="52">
                  <c:v>Z053</c:v>
                </c:pt>
                <c:pt idx="53">
                  <c:v>Z054</c:v>
                </c:pt>
                <c:pt idx="54">
                  <c:v>Z055</c:v>
                </c:pt>
                <c:pt idx="55">
                  <c:v>Z056</c:v>
                </c:pt>
                <c:pt idx="56">
                  <c:v>Z057</c:v>
                </c:pt>
                <c:pt idx="57">
                  <c:v>Z058</c:v>
                </c:pt>
                <c:pt idx="58">
                  <c:v>Z059</c:v>
                </c:pt>
                <c:pt idx="59">
                  <c:v>Z060</c:v>
                </c:pt>
                <c:pt idx="60">
                  <c:v>Z061</c:v>
                </c:pt>
                <c:pt idx="61">
                  <c:v>Z062</c:v>
                </c:pt>
                <c:pt idx="62">
                  <c:v>Z063</c:v>
                </c:pt>
                <c:pt idx="63">
                  <c:v>Z064</c:v>
                </c:pt>
                <c:pt idx="64">
                  <c:v>Z065</c:v>
                </c:pt>
                <c:pt idx="65">
                  <c:v>Z066</c:v>
                </c:pt>
                <c:pt idx="66">
                  <c:v>Z067</c:v>
                </c:pt>
                <c:pt idx="67">
                  <c:v>Z068</c:v>
                </c:pt>
                <c:pt idx="68">
                  <c:v>Z069</c:v>
                </c:pt>
                <c:pt idx="69">
                  <c:v>Z070</c:v>
                </c:pt>
                <c:pt idx="70">
                  <c:v>Z071</c:v>
                </c:pt>
                <c:pt idx="71">
                  <c:v>Z072</c:v>
                </c:pt>
                <c:pt idx="72">
                  <c:v>Z073</c:v>
                </c:pt>
                <c:pt idx="73">
                  <c:v>Z074</c:v>
                </c:pt>
                <c:pt idx="74">
                  <c:v>Z075</c:v>
                </c:pt>
                <c:pt idx="75">
                  <c:v>Z076</c:v>
                </c:pt>
                <c:pt idx="76">
                  <c:v>Z077</c:v>
                </c:pt>
                <c:pt idx="77">
                  <c:v>Z078</c:v>
                </c:pt>
                <c:pt idx="78">
                  <c:v>Z079</c:v>
                </c:pt>
                <c:pt idx="79">
                  <c:v>Z080</c:v>
                </c:pt>
                <c:pt idx="80">
                  <c:v>Z081</c:v>
                </c:pt>
                <c:pt idx="81">
                  <c:v>Z082</c:v>
                </c:pt>
                <c:pt idx="82">
                  <c:v>Z083</c:v>
                </c:pt>
                <c:pt idx="83">
                  <c:v>Z084</c:v>
                </c:pt>
                <c:pt idx="84">
                  <c:v>Z085</c:v>
                </c:pt>
                <c:pt idx="85">
                  <c:v>Z086</c:v>
                </c:pt>
                <c:pt idx="86">
                  <c:v>Z087</c:v>
                </c:pt>
                <c:pt idx="87">
                  <c:v>Z088</c:v>
                </c:pt>
                <c:pt idx="88">
                  <c:v>Z089</c:v>
                </c:pt>
                <c:pt idx="89">
                  <c:v>Z090</c:v>
                </c:pt>
                <c:pt idx="90">
                  <c:v>Z091</c:v>
                </c:pt>
                <c:pt idx="91">
                  <c:v>Z092</c:v>
                </c:pt>
                <c:pt idx="92">
                  <c:v>Z093</c:v>
                </c:pt>
                <c:pt idx="93">
                  <c:v>Z094</c:v>
                </c:pt>
                <c:pt idx="94">
                  <c:v>Z095</c:v>
                </c:pt>
                <c:pt idx="95">
                  <c:v>Z096</c:v>
                </c:pt>
                <c:pt idx="96">
                  <c:v>Z097</c:v>
                </c:pt>
                <c:pt idx="97">
                  <c:v>Z098</c:v>
                </c:pt>
                <c:pt idx="98">
                  <c:v>Z099</c:v>
                </c:pt>
                <c:pt idx="99">
                  <c:v>Z100</c:v>
                </c:pt>
                <c:pt idx="100">
                  <c:v>Z101</c:v>
                </c:pt>
                <c:pt idx="101">
                  <c:v>Z102</c:v>
                </c:pt>
                <c:pt idx="102">
                  <c:v>Z103</c:v>
                </c:pt>
                <c:pt idx="103">
                  <c:v>Z104</c:v>
                </c:pt>
                <c:pt idx="104">
                  <c:v>Z105</c:v>
                </c:pt>
                <c:pt idx="105">
                  <c:v>Z106</c:v>
                </c:pt>
                <c:pt idx="106">
                  <c:v>Z107</c:v>
                </c:pt>
                <c:pt idx="107">
                  <c:v>Z108</c:v>
                </c:pt>
                <c:pt idx="108">
                  <c:v>Z109</c:v>
                </c:pt>
                <c:pt idx="109">
                  <c:v>Z110</c:v>
                </c:pt>
                <c:pt idx="110">
                  <c:v>Z111</c:v>
                </c:pt>
                <c:pt idx="111">
                  <c:v>Z112</c:v>
                </c:pt>
                <c:pt idx="112">
                  <c:v>Z113</c:v>
                </c:pt>
                <c:pt idx="113">
                  <c:v>Z114</c:v>
                </c:pt>
                <c:pt idx="114">
                  <c:v>Z115</c:v>
                </c:pt>
                <c:pt idx="115">
                  <c:v>Z116</c:v>
                </c:pt>
                <c:pt idx="116">
                  <c:v>Z117</c:v>
                </c:pt>
                <c:pt idx="117">
                  <c:v>Z118</c:v>
                </c:pt>
                <c:pt idx="118">
                  <c:v>Z119</c:v>
                </c:pt>
                <c:pt idx="119">
                  <c:v>Z120</c:v>
                </c:pt>
              </c:strCache>
            </c:strRef>
          </c:cat>
          <c:val>
            <c:numRef>
              <c:f>Sheet3!$D$4:$D$124</c:f>
              <c:numCache>
                <c:formatCode>General</c:formatCode>
                <c:ptCount val="120"/>
                <c:pt idx="0">
                  <c:v>42.857142857142847</c:v>
                </c:pt>
                <c:pt idx="1">
                  <c:v>12</c:v>
                </c:pt>
                <c:pt idx="2">
                  <c:v>9.0909090909090917</c:v>
                </c:pt>
                <c:pt idx="3">
                  <c:v>25</c:v>
                </c:pt>
                <c:pt idx="4">
                  <c:v>12.5</c:v>
                </c:pt>
                <c:pt idx="5">
                  <c:v>7.4074074074074074</c:v>
                </c:pt>
                <c:pt idx="6">
                  <c:v>42.857142857142847</c:v>
                </c:pt>
                <c:pt idx="7">
                  <c:v>34.782608695652172</c:v>
                </c:pt>
                <c:pt idx="8">
                  <c:v>60</c:v>
                </c:pt>
                <c:pt idx="9">
                  <c:v>28.571428571428569</c:v>
                </c:pt>
                <c:pt idx="10">
                  <c:v>33.333333333333329</c:v>
                </c:pt>
                <c:pt idx="11">
                  <c:v>10</c:v>
                </c:pt>
                <c:pt idx="12">
                  <c:v>12.5</c:v>
                </c:pt>
                <c:pt idx="13">
                  <c:v>29.166666666666671</c:v>
                </c:pt>
                <c:pt idx="14">
                  <c:v>34.782608695652172</c:v>
                </c:pt>
                <c:pt idx="15">
                  <c:v>32</c:v>
                </c:pt>
                <c:pt idx="16">
                  <c:v>44.444444444444443</c:v>
                </c:pt>
                <c:pt idx="17">
                  <c:v>50</c:v>
                </c:pt>
                <c:pt idx="18">
                  <c:v>7.6923076923076934</c:v>
                </c:pt>
                <c:pt idx="19">
                  <c:v>37.5</c:v>
                </c:pt>
                <c:pt idx="20">
                  <c:v>22.222222222222221</c:v>
                </c:pt>
                <c:pt idx="21">
                  <c:v>14.285714285714279</c:v>
                </c:pt>
                <c:pt idx="22">
                  <c:v>44.444444444444443</c:v>
                </c:pt>
                <c:pt idx="23">
                  <c:v>24.137931034482762</c:v>
                </c:pt>
                <c:pt idx="24">
                  <c:v>28</c:v>
                </c:pt>
                <c:pt idx="25">
                  <c:v>38.095238095238088</c:v>
                </c:pt>
                <c:pt idx="26">
                  <c:v>26.666666666666671</c:v>
                </c:pt>
                <c:pt idx="27">
                  <c:v>11.53846153846154</c:v>
                </c:pt>
                <c:pt idx="28">
                  <c:v>36.84210526315789</c:v>
                </c:pt>
                <c:pt idx="29">
                  <c:v>12.5</c:v>
                </c:pt>
                <c:pt idx="30">
                  <c:v>62.5</c:v>
                </c:pt>
                <c:pt idx="31">
                  <c:v>40</c:v>
                </c:pt>
                <c:pt idx="32">
                  <c:v>42.857142857142847</c:v>
                </c:pt>
                <c:pt idx="33">
                  <c:v>15.789473684210529</c:v>
                </c:pt>
                <c:pt idx="34">
                  <c:v>25</c:v>
                </c:pt>
                <c:pt idx="35">
                  <c:v>50</c:v>
                </c:pt>
                <c:pt idx="36">
                  <c:v>29.62962962962963</c:v>
                </c:pt>
                <c:pt idx="37">
                  <c:v>26.92307692307692</c:v>
                </c:pt>
                <c:pt idx="38">
                  <c:v>50</c:v>
                </c:pt>
                <c:pt idx="39">
                  <c:v>19.047619047619051</c:v>
                </c:pt>
                <c:pt idx="40">
                  <c:v>44.444444444444443</c:v>
                </c:pt>
                <c:pt idx="41">
                  <c:v>16.666666666666661</c:v>
                </c:pt>
                <c:pt idx="42">
                  <c:v>30.434782608695659</c:v>
                </c:pt>
                <c:pt idx="43">
                  <c:v>21.428571428571431</c:v>
                </c:pt>
                <c:pt idx="44">
                  <c:v>66.666666666666657</c:v>
                </c:pt>
                <c:pt idx="45">
                  <c:v>13.33333333333333</c:v>
                </c:pt>
                <c:pt idx="46">
                  <c:v>12.5</c:v>
                </c:pt>
                <c:pt idx="47">
                  <c:v>28.571428571428569</c:v>
                </c:pt>
                <c:pt idx="48">
                  <c:v>31.81818181818182</c:v>
                </c:pt>
                <c:pt idx="49">
                  <c:v>12</c:v>
                </c:pt>
                <c:pt idx="50">
                  <c:v>12.5</c:v>
                </c:pt>
                <c:pt idx="51">
                  <c:v>70</c:v>
                </c:pt>
                <c:pt idx="52">
                  <c:v>50</c:v>
                </c:pt>
                <c:pt idx="53">
                  <c:v>11.76470588235294</c:v>
                </c:pt>
                <c:pt idx="54">
                  <c:v>35.294117647058833</c:v>
                </c:pt>
                <c:pt idx="55">
                  <c:v>50</c:v>
                </c:pt>
                <c:pt idx="56">
                  <c:v>26.315789473684209</c:v>
                </c:pt>
                <c:pt idx="57">
                  <c:v>44.444444444444443</c:v>
                </c:pt>
                <c:pt idx="58">
                  <c:v>12.5</c:v>
                </c:pt>
                <c:pt idx="59">
                  <c:v>13.63636363636363</c:v>
                </c:pt>
                <c:pt idx="60">
                  <c:v>10.71428571428571</c:v>
                </c:pt>
                <c:pt idx="61">
                  <c:v>8.3333333333333321</c:v>
                </c:pt>
                <c:pt idx="62">
                  <c:v>57.142857142857139</c:v>
                </c:pt>
                <c:pt idx="63">
                  <c:v>6.666666666666667</c:v>
                </c:pt>
                <c:pt idx="64">
                  <c:v>40</c:v>
                </c:pt>
                <c:pt idx="65">
                  <c:v>23.07692307692308</c:v>
                </c:pt>
                <c:pt idx="66">
                  <c:v>25</c:v>
                </c:pt>
                <c:pt idx="67">
                  <c:v>64.285714285714292</c:v>
                </c:pt>
                <c:pt idx="68">
                  <c:v>100</c:v>
                </c:pt>
                <c:pt idx="69">
                  <c:v>11.76470588235294</c:v>
                </c:pt>
                <c:pt idx="70">
                  <c:v>24</c:v>
                </c:pt>
                <c:pt idx="71">
                  <c:v>33.333333333333329</c:v>
                </c:pt>
                <c:pt idx="72">
                  <c:v>17.647058823529409</c:v>
                </c:pt>
                <c:pt idx="73">
                  <c:v>75</c:v>
                </c:pt>
                <c:pt idx="74">
                  <c:v>9.0909090909090917</c:v>
                </c:pt>
                <c:pt idx="75">
                  <c:v>47.058823529411761</c:v>
                </c:pt>
                <c:pt idx="76">
                  <c:v>23.07692307692308</c:v>
                </c:pt>
                <c:pt idx="77">
                  <c:v>30</c:v>
                </c:pt>
                <c:pt idx="78">
                  <c:v>21.05263157894737</c:v>
                </c:pt>
                <c:pt idx="79">
                  <c:v>36.363636363636367</c:v>
                </c:pt>
                <c:pt idx="80">
                  <c:v>10.3448275862069</c:v>
                </c:pt>
                <c:pt idx="81">
                  <c:v>12.5</c:v>
                </c:pt>
                <c:pt idx="82">
                  <c:v>33.333333333333329</c:v>
                </c:pt>
                <c:pt idx="83">
                  <c:v>7.6923076923076934</c:v>
                </c:pt>
                <c:pt idx="84">
                  <c:v>9.5238095238095237</c:v>
                </c:pt>
                <c:pt idx="85">
                  <c:v>34.782608695652172</c:v>
                </c:pt>
                <c:pt idx="86">
                  <c:v>100</c:v>
                </c:pt>
                <c:pt idx="87">
                  <c:v>23.07692307692308</c:v>
                </c:pt>
                <c:pt idx="88">
                  <c:v>8.3333333333333321</c:v>
                </c:pt>
                <c:pt idx="89">
                  <c:v>30.76923076923077</c:v>
                </c:pt>
                <c:pt idx="90">
                  <c:v>25</c:v>
                </c:pt>
                <c:pt idx="91">
                  <c:v>16</c:v>
                </c:pt>
                <c:pt idx="92">
                  <c:v>26.92307692307692</c:v>
                </c:pt>
                <c:pt idx="93">
                  <c:v>20</c:v>
                </c:pt>
                <c:pt idx="94">
                  <c:v>28.571428571428569</c:v>
                </c:pt>
                <c:pt idx="95">
                  <c:v>25</c:v>
                </c:pt>
                <c:pt idx="96">
                  <c:v>72.727272727272734</c:v>
                </c:pt>
                <c:pt idx="97">
                  <c:v>9.0909090909090917</c:v>
                </c:pt>
                <c:pt idx="98">
                  <c:v>19.047619047619051</c:v>
                </c:pt>
                <c:pt idx="99">
                  <c:v>37.5</c:v>
                </c:pt>
                <c:pt idx="100">
                  <c:v>26.92307692307692</c:v>
                </c:pt>
                <c:pt idx="101">
                  <c:v>30</c:v>
                </c:pt>
                <c:pt idx="102">
                  <c:v>24</c:v>
                </c:pt>
                <c:pt idx="103">
                  <c:v>120</c:v>
                </c:pt>
                <c:pt idx="104">
                  <c:v>12</c:v>
                </c:pt>
                <c:pt idx="105">
                  <c:v>24</c:v>
                </c:pt>
                <c:pt idx="106">
                  <c:v>20</c:v>
                </c:pt>
                <c:pt idx="107">
                  <c:v>18.18181818181818</c:v>
                </c:pt>
                <c:pt idx="108">
                  <c:v>41.17647058823529</c:v>
                </c:pt>
                <c:pt idx="109">
                  <c:v>13.043478260869559</c:v>
                </c:pt>
                <c:pt idx="110">
                  <c:v>50</c:v>
                </c:pt>
                <c:pt idx="111">
                  <c:v>8</c:v>
                </c:pt>
                <c:pt idx="112">
                  <c:v>47.368421052631582</c:v>
                </c:pt>
                <c:pt idx="113">
                  <c:v>18.75</c:v>
                </c:pt>
                <c:pt idx="114">
                  <c:v>38.888888888888893</c:v>
                </c:pt>
                <c:pt idx="115">
                  <c:v>36.84210526315789</c:v>
                </c:pt>
                <c:pt idx="116">
                  <c:v>60</c:v>
                </c:pt>
                <c:pt idx="117">
                  <c:v>37.5</c:v>
                </c:pt>
                <c:pt idx="118">
                  <c:v>27.27272727272727</c:v>
                </c:pt>
                <c:pt idx="119">
                  <c:v>57.142857142857139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82-4DCC-847C-D48CC57C1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[Parking_Utilization_Insight_POLISHED_DASHBOARD.xlsx]Sheet3!PivotTable3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avg_occupancy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Sheet3!$A$4:$A$124</c:f>
              <c:strCache>
                <c:ptCount val="120"/>
                <c:pt idx="0">
                  <c:v>Z001</c:v>
                </c:pt>
                <c:pt idx="1">
                  <c:v>Z002</c:v>
                </c:pt>
                <c:pt idx="2">
                  <c:v>Z003</c:v>
                </c:pt>
                <c:pt idx="3">
                  <c:v>Z004</c:v>
                </c:pt>
                <c:pt idx="4">
                  <c:v>Z005</c:v>
                </c:pt>
                <c:pt idx="5">
                  <c:v>Z006</c:v>
                </c:pt>
                <c:pt idx="6">
                  <c:v>Z007</c:v>
                </c:pt>
                <c:pt idx="7">
                  <c:v>Z008</c:v>
                </c:pt>
                <c:pt idx="8">
                  <c:v>Z009</c:v>
                </c:pt>
                <c:pt idx="9">
                  <c:v>Z010</c:v>
                </c:pt>
                <c:pt idx="10">
                  <c:v>Z011</c:v>
                </c:pt>
                <c:pt idx="11">
                  <c:v>Z012</c:v>
                </c:pt>
                <c:pt idx="12">
                  <c:v>Z013</c:v>
                </c:pt>
                <c:pt idx="13">
                  <c:v>Z014</c:v>
                </c:pt>
                <c:pt idx="14">
                  <c:v>Z015</c:v>
                </c:pt>
                <c:pt idx="15">
                  <c:v>Z016</c:v>
                </c:pt>
                <c:pt idx="16">
                  <c:v>Z017</c:v>
                </c:pt>
                <c:pt idx="17">
                  <c:v>Z018</c:v>
                </c:pt>
                <c:pt idx="18">
                  <c:v>Z019</c:v>
                </c:pt>
                <c:pt idx="19">
                  <c:v>Z020</c:v>
                </c:pt>
                <c:pt idx="20">
                  <c:v>Z021</c:v>
                </c:pt>
                <c:pt idx="21">
                  <c:v>Z022</c:v>
                </c:pt>
                <c:pt idx="22">
                  <c:v>Z023</c:v>
                </c:pt>
                <c:pt idx="23">
                  <c:v>Z024</c:v>
                </c:pt>
                <c:pt idx="24">
                  <c:v>Z025</c:v>
                </c:pt>
                <c:pt idx="25">
                  <c:v>Z026</c:v>
                </c:pt>
                <c:pt idx="26">
                  <c:v>Z027</c:v>
                </c:pt>
                <c:pt idx="27">
                  <c:v>Z028</c:v>
                </c:pt>
                <c:pt idx="28">
                  <c:v>Z029</c:v>
                </c:pt>
                <c:pt idx="29">
                  <c:v>Z030</c:v>
                </c:pt>
                <c:pt idx="30">
                  <c:v>Z031</c:v>
                </c:pt>
                <c:pt idx="31">
                  <c:v>Z032</c:v>
                </c:pt>
                <c:pt idx="32">
                  <c:v>Z033</c:v>
                </c:pt>
                <c:pt idx="33">
                  <c:v>Z034</c:v>
                </c:pt>
                <c:pt idx="34">
                  <c:v>Z035</c:v>
                </c:pt>
                <c:pt idx="35">
                  <c:v>Z036</c:v>
                </c:pt>
                <c:pt idx="36">
                  <c:v>Z037</c:v>
                </c:pt>
                <c:pt idx="37">
                  <c:v>Z038</c:v>
                </c:pt>
                <c:pt idx="38">
                  <c:v>Z039</c:v>
                </c:pt>
                <c:pt idx="39">
                  <c:v>Z040</c:v>
                </c:pt>
                <c:pt idx="40">
                  <c:v>Z041</c:v>
                </c:pt>
                <c:pt idx="41">
                  <c:v>Z042</c:v>
                </c:pt>
                <c:pt idx="42">
                  <c:v>Z043</c:v>
                </c:pt>
                <c:pt idx="43">
                  <c:v>Z044</c:v>
                </c:pt>
                <c:pt idx="44">
                  <c:v>Z045</c:v>
                </c:pt>
                <c:pt idx="45">
                  <c:v>Z046</c:v>
                </c:pt>
                <c:pt idx="46">
                  <c:v>Z047</c:v>
                </c:pt>
                <c:pt idx="47">
                  <c:v>Z048</c:v>
                </c:pt>
                <c:pt idx="48">
                  <c:v>Z049</c:v>
                </c:pt>
                <c:pt idx="49">
                  <c:v>Z050</c:v>
                </c:pt>
                <c:pt idx="50">
                  <c:v>Z051</c:v>
                </c:pt>
                <c:pt idx="51">
                  <c:v>Z052</c:v>
                </c:pt>
                <c:pt idx="52">
                  <c:v>Z053</c:v>
                </c:pt>
                <c:pt idx="53">
                  <c:v>Z054</c:v>
                </c:pt>
                <c:pt idx="54">
                  <c:v>Z055</c:v>
                </c:pt>
                <c:pt idx="55">
                  <c:v>Z056</c:v>
                </c:pt>
                <c:pt idx="56">
                  <c:v>Z057</c:v>
                </c:pt>
                <c:pt idx="57">
                  <c:v>Z058</c:v>
                </c:pt>
                <c:pt idx="58">
                  <c:v>Z059</c:v>
                </c:pt>
                <c:pt idx="59">
                  <c:v>Z060</c:v>
                </c:pt>
                <c:pt idx="60">
                  <c:v>Z061</c:v>
                </c:pt>
                <c:pt idx="61">
                  <c:v>Z062</c:v>
                </c:pt>
                <c:pt idx="62">
                  <c:v>Z063</c:v>
                </c:pt>
                <c:pt idx="63">
                  <c:v>Z064</c:v>
                </c:pt>
                <c:pt idx="64">
                  <c:v>Z065</c:v>
                </c:pt>
                <c:pt idx="65">
                  <c:v>Z066</c:v>
                </c:pt>
                <c:pt idx="66">
                  <c:v>Z067</c:v>
                </c:pt>
                <c:pt idx="67">
                  <c:v>Z068</c:v>
                </c:pt>
                <c:pt idx="68">
                  <c:v>Z069</c:v>
                </c:pt>
                <c:pt idx="69">
                  <c:v>Z070</c:v>
                </c:pt>
                <c:pt idx="70">
                  <c:v>Z071</c:v>
                </c:pt>
                <c:pt idx="71">
                  <c:v>Z072</c:v>
                </c:pt>
                <c:pt idx="72">
                  <c:v>Z073</c:v>
                </c:pt>
                <c:pt idx="73">
                  <c:v>Z074</c:v>
                </c:pt>
                <c:pt idx="74">
                  <c:v>Z075</c:v>
                </c:pt>
                <c:pt idx="75">
                  <c:v>Z076</c:v>
                </c:pt>
                <c:pt idx="76">
                  <c:v>Z077</c:v>
                </c:pt>
                <c:pt idx="77">
                  <c:v>Z078</c:v>
                </c:pt>
                <c:pt idx="78">
                  <c:v>Z079</c:v>
                </c:pt>
                <c:pt idx="79">
                  <c:v>Z080</c:v>
                </c:pt>
                <c:pt idx="80">
                  <c:v>Z081</c:v>
                </c:pt>
                <c:pt idx="81">
                  <c:v>Z082</c:v>
                </c:pt>
                <c:pt idx="82">
                  <c:v>Z083</c:v>
                </c:pt>
                <c:pt idx="83">
                  <c:v>Z084</c:v>
                </c:pt>
                <c:pt idx="84">
                  <c:v>Z085</c:v>
                </c:pt>
                <c:pt idx="85">
                  <c:v>Z086</c:v>
                </c:pt>
                <c:pt idx="86">
                  <c:v>Z087</c:v>
                </c:pt>
                <c:pt idx="87">
                  <c:v>Z088</c:v>
                </c:pt>
                <c:pt idx="88">
                  <c:v>Z089</c:v>
                </c:pt>
                <c:pt idx="89">
                  <c:v>Z090</c:v>
                </c:pt>
                <c:pt idx="90">
                  <c:v>Z091</c:v>
                </c:pt>
                <c:pt idx="91">
                  <c:v>Z092</c:v>
                </c:pt>
                <c:pt idx="92">
                  <c:v>Z093</c:v>
                </c:pt>
                <c:pt idx="93">
                  <c:v>Z094</c:v>
                </c:pt>
                <c:pt idx="94">
                  <c:v>Z095</c:v>
                </c:pt>
                <c:pt idx="95">
                  <c:v>Z096</c:v>
                </c:pt>
                <c:pt idx="96">
                  <c:v>Z097</c:v>
                </c:pt>
                <c:pt idx="97">
                  <c:v>Z098</c:v>
                </c:pt>
                <c:pt idx="98">
                  <c:v>Z099</c:v>
                </c:pt>
                <c:pt idx="99">
                  <c:v>Z100</c:v>
                </c:pt>
                <c:pt idx="100">
                  <c:v>Z101</c:v>
                </c:pt>
                <c:pt idx="101">
                  <c:v>Z102</c:v>
                </c:pt>
                <c:pt idx="102">
                  <c:v>Z103</c:v>
                </c:pt>
                <c:pt idx="103">
                  <c:v>Z104</c:v>
                </c:pt>
                <c:pt idx="104">
                  <c:v>Z105</c:v>
                </c:pt>
                <c:pt idx="105">
                  <c:v>Z106</c:v>
                </c:pt>
                <c:pt idx="106">
                  <c:v>Z107</c:v>
                </c:pt>
                <c:pt idx="107">
                  <c:v>Z108</c:v>
                </c:pt>
                <c:pt idx="108">
                  <c:v>Z109</c:v>
                </c:pt>
                <c:pt idx="109">
                  <c:v>Z110</c:v>
                </c:pt>
                <c:pt idx="110">
                  <c:v>Z111</c:v>
                </c:pt>
                <c:pt idx="111">
                  <c:v>Z112</c:v>
                </c:pt>
                <c:pt idx="112">
                  <c:v>Z113</c:v>
                </c:pt>
                <c:pt idx="113">
                  <c:v>Z114</c:v>
                </c:pt>
                <c:pt idx="114">
                  <c:v>Z115</c:v>
                </c:pt>
                <c:pt idx="115">
                  <c:v>Z116</c:v>
                </c:pt>
                <c:pt idx="116">
                  <c:v>Z117</c:v>
                </c:pt>
                <c:pt idx="117">
                  <c:v>Z118</c:v>
                </c:pt>
                <c:pt idx="118">
                  <c:v>Z119</c:v>
                </c:pt>
                <c:pt idx="119">
                  <c:v>Z120</c:v>
                </c:pt>
              </c:strCache>
            </c:strRef>
          </c:cat>
          <c:val>
            <c:numRef>
              <c:f>Sheet3!$B$4:$B$124</c:f>
              <c:numCache>
                <c:formatCode>General</c:formatCode>
                <c:ptCount val="120"/>
                <c:pt idx="0">
                  <c:v>16.36073423782921</c:v>
                </c:pt>
                <c:pt idx="1">
                  <c:v>4.3354037267080754</c:v>
                </c:pt>
                <c:pt idx="2">
                  <c:v>4.9401197604790434</c:v>
                </c:pt>
                <c:pt idx="3">
                  <c:v>7.2062591508052707</c:v>
                </c:pt>
                <c:pt idx="4">
                  <c:v>6.635662431941924</c:v>
                </c:pt>
                <c:pt idx="5">
                  <c:v>3.890641430073607</c:v>
                </c:pt>
                <c:pt idx="6">
                  <c:v>14.78260869565217</c:v>
                </c:pt>
                <c:pt idx="7">
                  <c:v>7.4350604250590351</c:v>
                </c:pt>
                <c:pt idx="8">
                  <c:v>16.311592138991742</c:v>
                </c:pt>
                <c:pt idx="9">
                  <c:v>15.12605042016807</c:v>
                </c:pt>
                <c:pt idx="10">
                  <c:v>9.1485172880521723</c:v>
                </c:pt>
                <c:pt idx="11">
                  <c:v>3.582502768549281</c:v>
                </c:pt>
                <c:pt idx="12">
                  <c:v>4.548974061169182</c:v>
                </c:pt>
                <c:pt idx="13">
                  <c:v>7.0896180647437594</c:v>
                </c:pt>
                <c:pt idx="14">
                  <c:v>7.425114182335844</c:v>
                </c:pt>
                <c:pt idx="15">
                  <c:v>6.8977594643317026</c:v>
                </c:pt>
                <c:pt idx="16">
                  <c:v>9.3364641236981658</c:v>
                </c:pt>
                <c:pt idx="17">
                  <c:v>14.337952270977681</c:v>
                </c:pt>
                <c:pt idx="18">
                  <c:v>3.9872971065631622</c:v>
                </c:pt>
                <c:pt idx="19">
                  <c:v>7.183676754668384</c:v>
                </c:pt>
                <c:pt idx="20">
                  <c:v>6.5207925103418241</c:v>
                </c:pt>
                <c:pt idx="21">
                  <c:v>7.5416373445930089</c:v>
                </c:pt>
                <c:pt idx="22">
                  <c:v>12.727433315668611</c:v>
                </c:pt>
                <c:pt idx="23">
                  <c:v>5.8889678562753573</c:v>
                </c:pt>
                <c:pt idx="24">
                  <c:v>6.6560424966799472</c:v>
                </c:pt>
                <c:pt idx="25">
                  <c:v>7.9949743742847188</c:v>
                </c:pt>
                <c:pt idx="26">
                  <c:v>7.8018018018018029</c:v>
                </c:pt>
                <c:pt idx="27">
                  <c:v>4.0462427745664744</c:v>
                </c:pt>
                <c:pt idx="28">
                  <c:v>8.9146514935988606</c:v>
                </c:pt>
                <c:pt idx="29">
                  <c:v>6.6144939965694682</c:v>
                </c:pt>
                <c:pt idx="30">
                  <c:v>10.46188370846731</c:v>
                </c:pt>
                <c:pt idx="31">
                  <c:v>11.58959537572254</c:v>
                </c:pt>
                <c:pt idx="32">
                  <c:v>14.81597005614473</c:v>
                </c:pt>
                <c:pt idx="33">
                  <c:v>5.7154605263157894</c:v>
                </c:pt>
                <c:pt idx="34">
                  <c:v>6.0862596263679567</c:v>
                </c:pt>
                <c:pt idx="35">
                  <c:v>17.2562893081761</c:v>
                </c:pt>
                <c:pt idx="36">
                  <c:v>6.3995564663835172</c:v>
                </c:pt>
                <c:pt idx="37">
                  <c:v>6.5779636701622506</c:v>
                </c:pt>
                <c:pt idx="38">
                  <c:v>13.374952705259171</c:v>
                </c:pt>
                <c:pt idx="39">
                  <c:v>5.1822293163075281</c:v>
                </c:pt>
                <c:pt idx="40">
                  <c:v>12.14294702403423</c:v>
                </c:pt>
                <c:pt idx="41">
                  <c:v>5.0418814432989683</c:v>
                </c:pt>
                <c:pt idx="42">
                  <c:v>7.3598880939277196</c:v>
                </c:pt>
                <c:pt idx="43">
                  <c:v>7.8343548640578344</c:v>
                </c:pt>
                <c:pt idx="44">
                  <c:v>19.34835076427996</c:v>
                </c:pt>
                <c:pt idx="45">
                  <c:v>3.9456248572081338</c:v>
                </c:pt>
                <c:pt idx="46">
                  <c:v>6.5711991434689514</c:v>
                </c:pt>
                <c:pt idx="47">
                  <c:v>5.9588159588159586</c:v>
                </c:pt>
                <c:pt idx="48">
                  <c:v>7.8111779637115726</c:v>
                </c:pt>
                <c:pt idx="49">
                  <c:v>4.4490216271884657</c:v>
                </c:pt>
                <c:pt idx="50">
                  <c:v>4.3720657276995301</c:v>
                </c:pt>
                <c:pt idx="51">
                  <c:v>16.2602778565353</c:v>
                </c:pt>
                <c:pt idx="52">
                  <c:v>11.64299560865609</c:v>
                </c:pt>
                <c:pt idx="53">
                  <c:v>6.1860888933886802</c:v>
                </c:pt>
                <c:pt idx="54">
                  <c:v>9.4159966144731264</c:v>
                </c:pt>
                <c:pt idx="55">
                  <c:v>18.370986920332939</c:v>
                </c:pt>
                <c:pt idx="56">
                  <c:v>6.2548232751967889</c:v>
                </c:pt>
                <c:pt idx="57">
                  <c:v>13.05035372451103</c:v>
                </c:pt>
                <c:pt idx="58">
                  <c:v>4.3540945790080734</c:v>
                </c:pt>
                <c:pt idx="59">
                  <c:v>4.853869878102512</c:v>
                </c:pt>
                <c:pt idx="60">
                  <c:v>3.8087520259319292</c:v>
                </c:pt>
                <c:pt idx="61">
                  <c:v>4.4244704570791527</c:v>
                </c:pt>
                <c:pt idx="62">
                  <c:v>11.99391933497537</c:v>
                </c:pt>
                <c:pt idx="63">
                  <c:v>3.562255723059744</c:v>
                </c:pt>
                <c:pt idx="64">
                  <c:v>11.18059299191375</c:v>
                </c:pt>
                <c:pt idx="65">
                  <c:v>7.963465106322249</c:v>
                </c:pt>
                <c:pt idx="66">
                  <c:v>6.1633436985549661</c:v>
                </c:pt>
                <c:pt idx="67">
                  <c:v>11.662000605326879</c:v>
                </c:pt>
                <c:pt idx="68">
                  <c:v>25.264750378214821</c:v>
                </c:pt>
                <c:pt idx="69">
                  <c:v>6.1546840958605662</c:v>
                </c:pt>
                <c:pt idx="70">
                  <c:v>6.8489054991991454</c:v>
                </c:pt>
                <c:pt idx="71">
                  <c:v>12.204671256919131</c:v>
                </c:pt>
                <c:pt idx="72">
                  <c:v>6.3806918116083642</c:v>
                </c:pt>
                <c:pt idx="73">
                  <c:v>19.75386779184247</c:v>
                </c:pt>
                <c:pt idx="74">
                  <c:v>4.7012599918710212</c:v>
                </c:pt>
                <c:pt idx="75">
                  <c:v>9.8298236071178806</c:v>
                </c:pt>
                <c:pt idx="76">
                  <c:v>8.3030893157475436</c:v>
                </c:pt>
                <c:pt idx="77">
                  <c:v>10.67924528301887</c:v>
                </c:pt>
                <c:pt idx="78">
                  <c:v>6.1348798190903464</c:v>
                </c:pt>
                <c:pt idx="79">
                  <c:v>7.7638125163655411</c:v>
                </c:pt>
                <c:pt idx="80">
                  <c:v>3.7481259370314839</c:v>
                </c:pt>
                <c:pt idx="81">
                  <c:v>6.637596899224806</c:v>
                </c:pt>
                <c:pt idx="82">
                  <c:v>12.37373737373737</c:v>
                </c:pt>
                <c:pt idx="83">
                  <c:v>4</c:v>
                </c:pt>
                <c:pt idx="84">
                  <c:v>4.9292827851703072</c:v>
                </c:pt>
                <c:pt idx="85">
                  <c:v>7.3486014512041287</c:v>
                </c:pt>
                <c:pt idx="86">
                  <c:v>22.662984350154819</c:v>
                </c:pt>
                <c:pt idx="87">
                  <c:v>8.0497569345152975</c:v>
                </c:pt>
                <c:pt idx="88">
                  <c:v>4.3626707132018199</c:v>
                </c:pt>
                <c:pt idx="89">
                  <c:v>6.6411342894393748</c:v>
                </c:pt>
                <c:pt idx="90">
                  <c:v>7.400497512437811</c:v>
                </c:pt>
                <c:pt idx="91">
                  <c:v>4.4382470119521908</c:v>
                </c:pt>
                <c:pt idx="92">
                  <c:v>6.6457420826352864</c:v>
                </c:pt>
                <c:pt idx="93">
                  <c:v>7.218683651804672</c:v>
                </c:pt>
                <c:pt idx="94">
                  <c:v>6.2333919682622847</c:v>
                </c:pt>
                <c:pt idx="95">
                  <c:v>9.5300423834455223</c:v>
                </c:pt>
                <c:pt idx="96">
                  <c:v>14.720634841414419</c:v>
                </c:pt>
                <c:pt idx="97">
                  <c:v>4.7391725473917257</c:v>
                </c:pt>
                <c:pt idx="98">
                  <c:v>5.5828077551973836</c:v>
                </c:pt>
                <c:pt idx="99">
                  <c:v>14.26005747126437</c:v>
                </c:pt>
                <c:pt idx="100">
                  <c:v>6.3702241130132107</c:v>
                </c:pt>
                <c:pt idx="101">
                  <c:v>11.061946902654871</c:v>
                </c:pt>
                <c:pt idx="102">
                  <c:v>6.7927083333333336</c:v>
                </c:pt>
                <c:pt idx="103">
                  <c:v>30.672672672672672</c:v>
                </c:pt>
                <c:pt idx="104">
                  <c:v>4.2972536348949921</c:v>
                </c:pt>
                <c:pt idx="105">
                  <c:v>6.7811430076376089</c:v>
                </c:pt>
                <c:pt idx="106">
                  <c:v>4.7881773399014778</c:v>
                </c:pt>
                <c:pt idx="107">
                  <c:v>5.2848101265822782</c:v>
                </c:pt>
                <c:pt idx="108">
                  <c:v>9.6650236720928717</c:v>
                </c:pt>
                <c:pt idx="109">
                  <c:v>4.673573723024024</c:v>
                </c:pt>
                <c:pt idx="110">
                  <c:v>13.6438809261301</c:v>
                </c:pt>
                <c:pt idx="111">
                  <c:v>4.1132075471698117</c:v>
                </c:pt>
                <c:pt idx="112">
                  <c:v>8.7512844695316776</c:v>
                </c:pt>
                <c:pt idx="113">
                  <c:v>6.8728522336769764</c:v>
                </c:pt>
                <c:pt idx="114">
                  <c:v>9.6461036095666746</c:v>
                </c:pt>
                <c:pt idx="115">
                  <c:v>8.6850649350649345</c:v>
                </c:pt>
                <c:pt idx="116">
                  <c:v>21.045751633986931</c:v>
                </c:pt>
                <c:pt idx="117">
                  <c:v>13.79504504504505</c:v>
                </c:pt>
                <c:pt idx="118">
                  <c:v>9.7854255208873226</c:v>
                </c:pt>
                <c:pt idx="119">
                  <c:v>16.151426401995881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2-4842-A66C-8208F720357A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total_sessions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Sheet3!$A$4:$A$124</c:f>
              <c:strCache>
                <c:ptCount val="120"/>
                <c:pt idx="0">
                  <c:v>Z001</c:v>
                </c:pt>
                <c:pt idx="1">
                  <c:v>Z002</c:v>
                </c:pt>
                <c:pt idx="2">
                  <c:v>Z003</c:v>
                </c:pt>
                <c:pt idx="3">
                  <c:v>Z004</c:v>
                </c:pt>
                <c:pt idx="4">
                  <c:v>Z005</c:v>
                </c:pt>
                <c:pt idx="5">
                  <c:v>Z006</c:v>
                </c:pt>
                <c:pt idx="6">
                  <c:v>Z007</c:v>
                </c:pt>
                <c:pt idx="7">
                  <c:v>Z008</c:v>
                </c:pt>
                <c:pt idx="8">
                  <c:v>Z009</c:v>
                </c:pt>
                <c:pt idx="9">
                  <c:v>Z010</c:v>
                </c:pt>
                <c:pt idx="10">
                  <c:v>Z011</c:v>
                </c:pt>
                <c:pt idx="11">
                  <c:v>Z012</c:v>
                </c:pt>
                <c:pt idx="12">
                  <c:v>Z013</c:v>
                </c:pt>
                <c:pt idx="13">
                  <c:v>Z014</c:v>
                </c:pt>
                <c:pt idx="14">
                  <c:v>Z015</c:v>
                </c:pt>
                <c:pt idx="15">
                  <c:v>Z016</c:v>
                </c:pt>
                <c:pt idx="16">
                  <c:v>Z017</c:v>
                </c:pt>
                <c:pt idx="17">
                  <c:v>Z018</c:v>
                </c:pt>
                <c:pt idx="18">
                  <c:v>Z019</c:v>
                </c:pt>
                <c:pt idx="19">
                  <c:v>Z020</c:v>
                </c:pt>
                <c:pt idx="20">
                  <c:v>Z021</c:v>
                </c:pt>
                <c:pt idx="21">
                  <c:v>Z022</c:v>
                </c:pt>
                <c:pt idx="22">
                  <c:v>Z023</c:v>
                </c:pt>
                <c:pt idx="23">
                  <c:v>Z024</c:v>
                </c:pt>
                <c:pt idx="24">
                  <c:v>Z025</c:v>
                </c:pt>
                <c:pt idx="25">
                  <c:v>Z026</c:v>
                </c:pt>
                <c:pt idx="26">
                  <c:v>Z027</c:v>
                </c:pt>
                <c:pt idx="27">
                  <c:v>Z028</c:v>
                </c:pt>
                <c:pt idx="28">
                  <c:v>Z029</c:v>
                </c:pt>
                <c:pt idx="29">
                  <c:v>Z030</c:v>
                </c:pt>
                <c:pt idx="30">
                  <c:v>Z031</c:v>
                </c:pt>
                <c:pt idx="31">
                  <c:v>Z032</c:v>
                </c:pt>
                <c:pt idx="32">
                  <c:v>Z033</c:v>
                </c:pt>
                <c:pt idx="33">
                  <c:v>Z034</c:v>
                </c:pt>
                <c:pt idx="34">
                  <c:v>Z035</c:v>
                </c:pt>
                <c:pt idx="35">
                  <c:v>Z036</c:v>
                </c:pt>
                <c:pt idx="36">
                  <c:v>Z037</c:v>
                </c:pt>
                <c:pt idx="37">
                  <c:v>Z038</c:v>
                </c:pt>
                <c:pt idx="38">
                  <c:v>Z039</c:v>
                </c:pt>
                <c:pt idx="39">
                  <c:v>Z040</c:v>
                </c:pt>
                <c:pt idx="40">
                  <c:v>Z041</c:v>
                </c:pt>
                <c:pt idx="41">
                  <c:v>Z042</c:v>
                </c:pt>
                <c:pt idx="42">
                  <c:v>Z043</c:v>
                </c:pt>
                <c:pt idx="43">
                  <c:v>Z044</c:v>
                </c:pt>
                <c:pt idx="44">
                  <c:v>Z045</c:v>
                </c:pt>
                <c:pt idx="45">
                  <c:v>Z046</c:v>
                </c:pt>
                <c:pt idx="46">
                  <c:v>Z047</c:v>
                </c:pt>
                <c:pt idx="47">
                  <c:v>Z048</c:v>
                </c:pt>
                <c:pt idx="48">
                  <c:v>Z049</c:v>
                </c:pt>
                <c:pt idx="49">
                  <c:v>Z050</c:v>
                </c:pt>
                <c:pt idx="50">
                  <c:v>Z051</c:v>
                </c:pt>
                <c:pt idx="51">
                  <c:v>Z052</c:v>
                </c:pt>
                <c:pt idx="52">
                  <c:v>Z053</c:v>
                </c:pt>
                <c:pt idx="53">
                  <c:v>Z054</c:v>
                </c:pt>
                <c:pt idx="54">
                  <c:v>Z055</c:v>
                </c:pt>
                <c:pt idx="55">
                  <c:v>Z056</c:v>
                </c:pt>
                <c:pt idx="56">
                  <c:v>Z057</c:v>
                </c:pt>
                <c:pt idx="57">
                  <c:v>Z058</c:v>
                </c:pt>
                <c:pt idx="58">
                  <c:v>Z059</c:v>
                </c:pt>
                <c:pt idx="59">
                  <c:v>Z060</c:v>
                </c:pt>
                <c:pt idx="60">
                  <c:v>Z061</c:v>
                </c:pt>
                <c:pt idx="61">
                  <c:v>Z062</c:v>
                </c:pt>
                <c:pt idx="62">
                  <c:v>Z063</c:v>
                </c:pt>
                <c:pt idx="63">
                  <c:v>Z064</c:v>
                </c:pt>
                <c:pt idx="64">
                  <c:v>Z065</c:v>
                </c:pt>
                <c:pt idx="65">
                  <c:v>Z066</c:v>
                </c:pt>
                <c:pt idx="66">
                  <c:v>Z067</c:v>
                </c:pt>
                <c:pt idx="67">
                  <c:v>Z068</c:v>
                </c:pt>
                <c:pt idx="68">
                  <c:v>Z069</c:v>
                </c:pt>
                <c:pt idx="69">
                  <c:v>Z070</c:v>
                </c:pt>
                <c:pt idx="70">
                  <c:v>Z071</c:v>
                </c:pt>
                <c:pt idx="71">
                  <c:v>Z072</c:v>
                </c:pt>
                <c:pt idx="72">
                  <c:v>Z073</c:v>
                </c:pt>
                <c:pt idx="73">
                  <c:v>Z074</c:v>
                </c:pt>
                <c:pt idx="74">
                  <c:v>Z075</c:v>
                </c:pt>
                <c:pt idx="75">
                  <c:v>Z076</c:v>
                </c:pt>
                <c:pt idx="76">
                  <c:v>Z077</c:v>
                </c:pt>
                <c:pt idx="77">
                  <c:v>Z078</c:v>
                </c:pt>
                <c:pt idx="78">
                  <c:v>Z079</c:v>
                </c:pt>
                <c:pt idx="79">
                  <c:v>Z080</c:v>
                </c:pt>
                <c:pt idx="80">
                  <c:v>Z081</c:v>
                </c:pt>
                <c:pt idx="81">
                  <c:v>Z082</c:v>
                </c:pt>
                <c:pt idx="82">
                  <c:v>Z083</c:v>
                </c:pt>
                <c:pt idx="83">
                  <c:v>Z084</c:v>
                </c:pt>
                <c:pt idx="84">
                  <c:v>Z085</c:v>
                </c:pt>
                <c:pt idx="85">
                  <c:v>Z086</c:v>
                </c:pt>
                <c:pt idx="86">
                  <c:v>Z087</c:v>
                </c:pt>
                <c:pt idx="87">
                  <c:v>Z088</c:v>
                </c:pt>
                <c:pt idx="88">
                  <c:v>Z089</c:v>
                </c:pt>
                <c:pt idx="89">
                  <c:v>Z090</c:v>
                </c:pt>
                <c:pt idx="90">
                  <c:v>Z091</c:v>
                </c:pt>
                <c:pt idx="91">
                  <c:v>Z092</c:v>
                </c:pt>
                <c:pt idx="92">
                  <c:v>Z093</c:v>
                </c:pt>
                <c:pt idx="93">
                  <c:v>Z094</c:v>
                </c:pt>
                <c:pt idx="94">
                  <c:v>Z095</c:v>
                </c:pt>
                <c:pt idx="95">
                  <c:v>Z096</c:v>
                </c:pt>
                <c:pt idx="96">
                  <c:v>Z097</c:v>
                </c:pt>
                <c:pt idx="97">
                  <c:v>Z098</c:v>
                </c:pt>
                <c:pt idx="98">
                  <c:v>Z099</c:v>
                </c:pt>
                <c:pt idx="99">
                  <c:v>Z100</c:v>
                </c:pt>
                <c:pt idx="100">
                  <c:v>Z101</c:v>
                </c:pt>
                <c:pt idx="101">
                  <c:v>Z102</c:v>
                </c:pt>
                <c:pt idx="102">
                  <c:v>Z103</c:v>
                </c:pt>
                <c:pt idx="103">
                  <c:v>Z104</c:v>
                </c:pt>
                <c:pt idx="104">
                  <c:v>Z105</c:v>
                </c:pt>
                <c:pt idx="105">
                  <c:v>Z106</c:v>
                </c:pt>
                <c:pt idx="106">
                  <c:v>Z107</c:v>
                </c:pt>
                <c:pt idx="107">
                  <c:v>Z108</c:v>
                </c:pt>
                <c:pt idx="108">
                  <c:v>Z109</c:v>
                </c:pt>
                <c:pt idx="109">
                  <c:v>Z110</c:v>
                </c:pt>
                <c:pt idx="110">
                  <c:v>Z111</c:v>
                </c:pt>
                <c:pt idx="111">
                  <c:v>Z112</c:v>
                </c:pt>
                <c:pt idx="112">
                  <c:v>Z113</c:v>
                </c:pt>
                <c:pt idx="113">
                  <c:v>Z114</c:v>
                </c:pt>
                <c:pt idx="114">
                  <c:v>Z115</c:v>
                </c:pt>
                <c:pt idx="115">
                  <c:v>Z116</c:v>
                </c:pt>
                <c:pt idx="116">
                  <c:v>Z117</c:v>
                </c:pt>
                <c:pt idx="117">
                  <c:v>Z118</c:v>
                </c:pt>
                <c:pt idx="118">
                  <c:v>Z119</c:v>
                </c:pt>
                <c:pt idx="119">
                  <c:v>Z120</c:v>
                </c:pt>
              </c:strCache>
            </c:strRef>
          </c:cat>
          <c:val>
            <c:numRef>
              <c:f>Sheet3!$C$4:$C$124</c:f>
              <c:numCache>
                <c:formatCode>General</c:formatCode>
                <c:ptCount val="120"/>
                <c:pt idx="0">
                  <c:v>429</c:v>
                </c:pt>
                <c:pt idx="1">
                  <c:v>198</c:v>
                </c:pt>
                <c:pt idx="2">
                  <c:v>192</c:v>
                </c:pt>
                <c:pt idx="3">
                  <c:v>441</c:v>
                </c:pt>
                <c:pt idx="4">
                  <c:v>165</c:v>
                </c:pt>
                <c:pt idx="5">
                  <c:v>180</c:v>
                </c:pt>
                <c:pt idx="6">
                  <c:v>130</c:v>
                </c:pt>
                <c:pt idx="7">
                  <c:v>1808</c:v>
                </c:pt>
                <c:pt idx="8">
                  <c:v>1594</c:v>
                </c:pt>
                <c:pt idx="9">
                  <c:v>142</c:v>
                </c:pt>
                <c:pt idx="10">
                  <c:v>1663</c:v>
                </c:pt>
                <c:pt idx="11">
                  <c:v>179</c:v>
                </c:pt>
                <c:pt idx="12">
                  <c:v>253</c:v>
                </c:pt>
                <c:pt idx="13">
                  <c:v>1819</c:v>
                </c:pt>
                <c:pt idx="14">
                  <c:v>1771</c:v>
                </c:pt>
                <c:pt idx="15">
                  <c:v>1858</c:v>
                </c:pt>
                <c:pt idx="16">
                  <c:v>1642</c:v>
                </c:pt>
                <c:pt idx="17">
                  <c:v>438</c:v>
                </c:pt>
                <c:pt idx="18">
                  <c:v>164</c:v>
                </c:pt>
                <c:pt idx="19">
                  <c:v>504</c:v>
                </c:pt>
                <c:pt idx="20">
                  <c:v>499</c:v>
                </c:pt>
                <c:pt idx="21">
                  <c:v>172</c:v>
                </c:pt>
                <c:pt idx="22">
                  <c:v>399</c:v>
                </c:pt>
                <c:pt idx="23">
                  <c:v>1848</c:v>
                </c:pt>
                <c:pt idx="24">
                  <c:v>1769</c:v>
                </c:pt>
                <c:pt idx="25">
                  <c:v>1807</c:v>
                </c:pt>
                <c:pt idx="26">
                  <c:v>498</c:v>
                </c:pt>
                <c:pt idx="27">
                  <c:v>152</c:v>
                </c:pt>
                <c:pt idx="28">
                  <c:v>1757</c:v>
                </c:pt>
                <c:pt idx="29">
                  <c:v>172</c:v>
                </c:pt>
                <c:pt idx="30">
                  <c:v>1743</c:v>
                </c:pt>
                <c:pt idx="31">
                  <c:v>446</c:v>
                </c:pt>
                <c:pt idx="32">
                  <c:v>139</c:v>
                </c:pt>
                <c:pt idx="33">
                  <c:v>179</c:v>
                </c:pt>
                <c:pt idx="34">
                  <c:v>1849</c:v>
                </c:pt>
                <c:pt idx="35">
                  <c:v>119</c:v>
                </c:pt>
                <c:pt idx="36">
                  <c:v>1799</c:v>
                </c:pt>
                <c:pt idx="37">
                  <c:v>1815</c:v>
                </c:pt>
                <c:pt idx="38">
                  <c:v>1563</c:v>
                </c:pt>
                <c:pt idx="39">
                  <c:v>272</c:v>
                </c:pt>
                <c:pt idx="40">
                  <c:v>277</c:v>
                </c:pt>
                <c:pt idx="41">
                  <c:v>508</c:v>
                </c:pt>
                <c:pt idx="42">
                  <c:v>1794</c:v>
                </c:pt>
                <c:pt idx="43">
                  <c:v>273</c:v>
                </c:pt>
                <c:pt idx="44">
                  <c:v>408</c:v>
                </c:pt>
                <c:pt idx="45">
                  <c:v>469</c:v>
                </c:pt>
                <c:pt idx="46">
                  <c:v>136</c:v>
                </c:pt>
                <c:pt idx="47">
                  <c:v>1818</c:v>
                </c:pt>
                <c:pt idx="48">
                  <c:v>1846</c:v>
                </c:pt>
                <c:pt idx="49">
                  <c:v>303</c:v>
                </c:pt>
                <c:pt idx="50">
                  <c:v>169</c:v>
                </c:pt>
                <c:pt idx="51">
                  <c:v>1585</c:v>
                </c:pt>
                <c:pt idx="52">
                  <c:v>1649</c:v>
                </c:pt>
                <c:pt idx="53">
                  <c:v>174</c:v>
                </c:pt>
                <c:pt idx="54">
                  <c:v>1630</c:v>
                </c:pt>
                <c:pt idx="55">
                  <c:v>263</c:v>
                </c:pt>
                <c:pt idx="56">
                  <c:v>450</c:v>
                </c:pt>
                <c:pt idx="57">
                  <c:v>438</c:v>
                </c:pt>
                <c:pt idx="58">
                  <c:v>176</c:v>
                </c:pt>
                <c:pt idx="59">
                  <c:v>183</c:v>
                </c:pt>
                <c:pt idx="60">
                  <c:v>189</c:v>
                </c:pt>
                <c:pt idx="61">
                  <c:v>180</c:v>
                </c:pt>
                <c:pt idx="62">
                  <c:v>1713</c:v>
                </c:pt>
                <c:pt idx="63">
                  <c:v>177</c:v>
                </c:pt>
                <c:pt idx="64">
                  <c:v>1747</c:v>
                </c:pt>
                <c:pt idx="65">
                  <c:v>150</c:v>
                </c:pt>
                <c:pt idx="66">
                  <c:v>1868</c:v>
                </c:pt>
                <c:pt idx="67">
                  <c:v>1715</c:v>
                </c:pt>
                <c:pt idx="68">
                  <c:v>1388</c:v>
                </c:pt>
                <c:pt idx="69">
                  <c:v>184</c:v>
                </c:pt>
                <c:pt idx="70">
                  <c:v>1814</c:v>
                </c:pt>
                <c:pt idx="71">
                  <c:v>258</c:v>
                </c:pt>
                <c:pt idx="72">
                  <c:v>184</c:v>
                </c:pt>
                <c:pt idx="73">
                  <c:v>1577</c:v>
                </c:pt>
                <c:pt idx="74">
                  <c:v>187</c:v>
                </c:pt>
                <c:pt idx="75">
                  <c:v>1795</c:v>
                </c:pt>
                <c:pt idx="76">
                  <c:v>258</c:v>
                </c:pt>
                <c:pt idx="77">
                  <c:v>158</c:v>
                </c:pt>
                <c:pt idx="78">
                  <c:v>465</c:v>
                </c:pt>
                <c:pt idx="79">
                  <c:v>1821</c:v>
                </c:pt>
                <c:pt idx="80">
                  <c:v>184</c:v>
                </c:pt>
                <c:pt idx="81">
                  <c:v>160</c:v>
                </c:pt>
                <c:pt idx="82">
                  <c:v>272</c:v>
                </c:pt>
                <c:pt idx="83">
                  <c:v>163</c:v>
                </c:pt>
                <c:pt idx="84">
                  <c:v>160</c:v>
                </c:pt>
                <c:pt idx="85">
                  <c:v>1783</c:v>
                </c:pt>
                <c:pt idx="86">
                  <c:v>1518</c:v>
                </c:pt>
                <c:pt idx="87">
                  <c:v>161</c:v>
                </c:pt>
                <c:pt idx="88">
                  <c:v>182</c:v>
                </c:pt>
                <c:pt idx="89">
                  <c:v>1847</c:v>
                </c:pt>
                <c:pt idx="90">
                  <c:v>467</c:v>
                </c:pt>
                <c:pt idx="91">
                  <c:v>301</c:v>
                </c:pt>
                <c:pt idx="92">
                  <c:v>1814</c:v>
                </c:pt>
                <c:pt idx="93">
                  <c:v>181</c:v>
                </c:pt>
                <c:pt idx="94">
                  <c:v>1879</c:v>
                </c:pt>
                <c:pt idx="95">
                  <c:v>442</c:v>
                </c:pt>
                <c:pt idx="96">
                  <c:v>1658</c:v>
                </c:pt>
                <c:pt idx="97">
                  <c:v>187</c:v>
                </c:pt>
                <c:pt idx="98">
                  <c:v>464</c:v>
                </c:pt>
                <c:pt idx="99">
                  <c:v>453</c:v>
                </c:pt>
                <c:pt idx="100">
                  <c:v>1752</c:v>
                </c:pt>
                <c:pt idx="101">
                  <c:v>254</c:v>
                </c:pt>
                <c:pt idx="102">
                  <c:v>1818</c:v>
                </c:pt>
                <c:pt idx="103">
                  <c:v>1417</c:v>
                </c:pt>
                <c:pt idx="104">
                  <c:v>175</c:v>
                </c:pt>
                <c:pt idx="105">
                  <c:v>1803</c:v>
                </c:pt>
                <c:pt idx="106">
                  <c:v>479</c:v>
                </c:pt>
                <c:pt idx="107">
                  <c:v>522</c:v>
                </c:pt>
                <c:pt idx="108">
                  <c:v>1669</c:v>
                </c:pt>
                <c:pt idx="109">
                  <c:v>291</c:v>
                </c:pt>
                <c:pt idx="110">
                  <c:v>1675</c:v>
                </c:pt>
                <c:pt idx="111">
                  <c:v>154</c:v>
                </c:pt>
                <c:pt idx="112">
                  <c:v>1746</c:v>
                </c:pt>
                <c:pt idx="113">
                  <c:v>271</c:v>
                </c:pt>
                <c:pt idx="114">
                  <c:v>1817</c:v>
                </c:pt>
                <c:pt idx="115">
                  <c:v>1722</c:v>
                </c:pt>
                <c:pt idx="116">
                  <c:v>132</c:v>
                </c:pt>
                <c:pt idx="117">
                  <c:v>260</c:v>
                </c:pt>
                <c:pt idx="118">
                  <c:v>259</c:v>
                </c:pt>
                <c:pt idx="119">
                  <c:v>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62-4842-A66C-8208F720357A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max_occupancy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Sheet3!$A$4:$A$124</c:f>
              <c:strCache>
                <c:ptCount val="120"/>
                <c:pt idx="0">
                  <c:v>Z001</c:v>
                </c:pt>
                <c:pt idx="1">
                  <c:v>Z002</c:v>
                </c:pt>
                <c:pt idx="2">
                  <c:v>Z003</c:v>
                </c:pt>
                <c:pt idx="3">
                  <c:v>Z004</c:v>
                </c:pt>
                <c:pt idx="4">
                  <c:v>Z005</c:v>
                </c:pt>
                <c:pt idx="5">
                  <c:v>Z006</c:v>
                </c:pt>
                <c:pt idx="6">
                  <c:v>Z007</c:v>
                </c:pt>
                <c:pt idx="7">
                  <c:v>Z008</c:v>
                </c:pt>
                <c:pt idx="8">
                  <c:v>Z009</c:v>
                </c:pt>
                <c:pt idx="9">
                  <c:v>Z010</c:v>
                </c:pt>
                <c:pt idx="10">
                  <c:v>Z011</c:v>
                </c:pt>
                <c:pt idx="11">
                  <c:v>Z012</c:v>
                </c:pt>
                <c:pt idx="12">
                  <c:v>Z013</c:v>
                </c:pt>
                <c:pt idx="13">
                  <c:v>Z014</c:v>
                </c:pt>
                <c:pt idx="14">
                  <c:v>Z015</c:v>
                </c:pt>
                <c:pt idx="15">
                  <c:v>Z016</c:v>
                </c:pt>
                <c:pt idx="16">
                  <c:v>Z017</c:v>
                </c:pt>
                <c:pt idx="17">
                  <c:v>Z018</c:v>
                </c:pt>
                <c:pt idx="18">
                  <c:v>Z019</c:v>
                </c:pt>
                <c:pt idx="19">
                  <c:v>Z020</c:v>
                </c:pt>
                <c:pt idx="20">
                  <c:v>Z021</c:v>
                </c:pt>
                <c:pt idx="21">
                  <c:v>Z022</c:v>
                </c:pt>
                <c:pt idx="22">
                  <c:v>Z023</c:v>
                </c:pt>
                <c:pt idx="23">
                  <c:v>Z024</c:v>
                </c:pt>
                <c:pt idx="24">
                  <c:v>Z025</c:v>
                </c:pt>
                <c:pt idx="25">
                  <c:v>Z026</c:v>
                </c:pt>
                <c:pt idx="26">
                  <c:v>Z027</c:v>
                </c:pt>
                <c:pt idx="27">
                  <c:v>Z028</c:v>
                </c:pt>
                <c:pt idx="28">
                  <c:v>Z029</c:v>
                </c:pt>
                <c:pt idx="29">
                  <c:v>Z030</c:v>
                </c:pt>
                <c:pt idx="30">
                  <c:v>Z031</c:v>
                </c:pt>
                <c:pt idx="31">
                  <c:v>Z032</c:v>
                </c:pt>
                <c:pt idx="32">
                  <c:v>Z033</c:v>
                </c:pt>
                <c:pt idx="33">
                  <c:v>Z034</c:v>
                </c:pt>
                <c:pt idx="34">
                  <c:v>Z035</c:v>
                </c:pt>
                <c:pt idx="35">
                  <c:v>Z036</c:v>
                </c:pt>
                <c:pt idx="36">
                  <c:v>Z037</c:v>
                </c:pt>
                <c:pt idx="37">
                  <c:v>Z038</c:v>
                </c:pt>
                <c:pt idx="38">
                  <c:v>Z039</c:v>
                </c:pt>
                <c:pt idx="39">
                  <c:v>Z040</c:v>
                </c:pt>
                <c:pt idx="40">
                  <c:v>Z041</c:v>
                </c:pt>
                <c:pt idx="41">
                  <c:v>Z042</c:v>
                </c:pt>
                <c:pt idx="42">
                  <c:v>Z043</c:v>
                </c:pt>
                <c:pt idx="43">
                  <c:v>Z044</c:v>
                </c:pt>
                <c:pt idx="44">
                  <c:v>Z045</c:v>
                </c:pt>
                <c:pt idx="45">
                  <c:v>Z046</c:v>
                </c:pt>
                <c:pt idx="46">
                  <c:v>Z047</c:v>
                </c:pt>
                <c:pt idx="47">
                  <c:v>Z048</c:v>
                </c:pt>
                <c:pt idx="48">
                  <c:v>Z049</c:v>
                </c:pt>
                <c:pt idx="49">
                  <c:v>Z050</c:v>
                </c:pt>
                <c:pt idx="50">
                  <c:v>Z051</c:v>
                </c:pt>
                <c:pt idx="51">
                  <c:v>Z052</c:v>
                </c:pt>
                <c:pt idx="52">
                  <c:v>Z053</c:v>
                </c:pt>
                <c:pt idx="53">
                  <c:v>Z054</c:v>
                </c:pt>
                <c:pt idx="54">
                  <c:v>Z055</c:v>
                </c:pt>
                <c:pt idx="55">
                  <c:v>Z056</c:v>
                </c:pt>
                <c:pt idx="56">
                  <c:v>Z057</c:v>
                </c:pt>
                <c:pt idx="57">
                  <c:v>Z058</c:v>
                </c:pt>
                <c:pt idx="58">
                  <c:v>Z059</c:v>
                </c:pt>
                <c:pt idx="59">
                  <c:v>Z060</c:v>
                </c:pt>
                <c:pt idx="60">
                  <c:v>Z061</c:v>
                </c:pt>
                <c:pt idx="61">
                  <c:v>Z062</c:v>
                </c:pt>
                <c:pt idx="62">
                  <c:v>Z063</c:v>
                </c:pt>
                <c:pt idx="63">
                  <c:v>Z064</c:v>
                </c:pt>
                <c:pt idx="64">
                  <c:v>Z065</c:v>
                </c:pt>
                <c:pt idx="65">
                  <c:v>Z066</c:v>
                </c:pt>
                <c:pt idx="66">
                  <c:v>Z067</c:v>
                </c:pt>
                <c:pt idx="67">
                  <c:v>Z068</c:v>
                </c:pt>
                <c:pt idx="68">
                  <c:v>Z069</c:v>
                </c:pt>
                <c:pt idx="69">
                  <c:v>Z070</c:v>
                </c:pt>
                <c:pt idx="70">
                  <c:v>Z071</c:v>
                </c:pt>
                <c:pt idx="71">
                  <c:v>Z072</c:v>
                </c:pt>
                <c:pt idx="72">
                  <c:v>Z073</c:v>
                </c:pt>
                <c:pt idx="73">
                  <c:v>Z074</c:v>
                </c:pt>
                <c:pt idx="74">
                  <c:v>Z075</c:v>
                </c:pt>
                <c:pt idx="75">
                  <c:v>Z076</c:v>
                </c:pt>
                <c:pt idx="76">
                  <c:v>Z077</c:v>
                </c:pt>
                <c:pt idx="77">
                  <c:v>Z078</c:v>
                </c:pt>
                <c:pt idx="78">
                  <c:v>Z079</c:v>
                </c:pt>
                <c:pt idx="79">
                  <c:v>Z080</c:v>
                </c:pt>
                <c:pt idx="80">
                  <c:v>Z081</c:v>
                </c:pt>
                <c:pt idx="81">
                  <c:v>Z082</c:v>
                </c:pt>
                <c:pt idx="82">
                  <c:v>Z083</c:v>
                </c:pt>
                <c:pt idx="83">
                  <c:v>Z084</c:v>
                </c:pt>
                <c:pt idx="84">
                  <c:v>Z085</c:v>
                </c:pt>
                <c:pt idx="85">
                  <c:v>Z086</c:v>
                </c:pt>
                <c:pt idx="86">
                  <c:v>Z087</c:v>
                </c:pt>
                <c:pt idx="87">
                  <c:v>Z088</c:v>
                </c:pt>
                <c:pt idx="88">
                  <c:v>Z089</c:v>
                </c:pt>
                <c:pt idx="89">
                  <c:v>Z090</c:v>
                </c:pt>
                <c:pt idx="90">
                  <c:v>Z091</c:v>
                </c:pt>
                <c:pt idx="91">
                  <c:v>Z092</c:v>
                </c:pt>
                <c:pt idx="92">
                  <c:v>Z093</c:v>
                </c:pt>
                <c:pt idx="93">
                  <c:v>Z094</c:v>
                </c:pt>
                <c:pt idx="94">
                  <c:v>Z095</c:v>
                </c:pt>
                <c:pt idx="95">
                  <c:v>Z096</c:v>
                </c:pt>
                <c:pt idx="96">
                  <c:v>Z097</c:v>
                </c:pt>
                <c:pt idx="97">
                  <c:v>Z098</c:v>
                </c:pt>
                <c:pt idx="98">
                  <c:v>Z099</c:v>
                </c:pt>
                <c:pt idx="99">
                  <c:v>Z100</c:v>
                </c:pt>
                <c:pt idx="100">
                  <c:v>Z101</c:v>
                </c:pt>
                <c:pt idx="101">
                  <c:v>Z102</c:v>
                </c:pt>
                <c:pt idx="102">
                  <c:v>Z103</c:v>
                </c:pt>
                <c:pt idx="103">
                  <c:v>Z104</c:v>
                </c:pt>
                <c:pt idx="104">
                  <c:v>Z105</c:v>
                </c:pt>
                <c:pt idx="105">
                  <c:v>Z106</c:v>
                </c:pt>
                <c:pt idx="106">
                  <c:v>Z107</c:v>
                </c:pt>
                <c:pt idx="107">
                  <c:v>Z108</c:v>
                </c:pt>
                <c:pt idx="108">
                  <c:v>Z109</c:v>
                </c:pt>
                <c:pt idx="109">
                  <c:v>Z110</c:v>
                </c:pt>
                <c:pt idx="110">
                  <c:v>Z111</c:v>
                </c:pt>
                <c:pt idx="111">
                  <c:v>Z112</c:v>
                </c:pt>
                <c:pt idx="112">
                  <c:v>Z113</c:v>
                </c:pt>
                <c:pt idx="113">
                  <c:v>Z114</c:v>
                </c:pt>
                <c:pt idx="114">
                  <c:v>Z115</c:v>
                </c:pt>
                <c:pt idx="115">
                  <c:v>Z116</c:v>
                </c:pt>
                <c:pt idx="116">
                  <c:v>Z117</c:v>
                </c:pt>
                <c:pt idx="117">
                  <c:v>Z118</c:v>
                </c:pt>
                <c:pt idx="118">
                  <c:v>Z119</c:v>
                </c:pt>
                <c:pt idx="119">
                  <c:v>Z120</c:v>
                </c:pt>
              </c:strCache>
            </c:strRef>
          </c:cat>
          <c:val>
            <c:numRef>
              <c:f>Sheet3!$D$4:$D$124</c:f>
              <c:numCache>
                <c:formatCode>General</c:formatCode>
                <c:ptCount val="120"/>
                <c:pt idx="0">
                  <c:v>42.857142857142847</c:v>
                </c:pt>
                <c:pt idx="1">
                  <c:v>12</c:v>
                </c:pt>
                <c:pt idx="2">
                  <c:v>9.0909090909090917</c:v>
                </c:pt>
                <c:pt idx="3">
                  <c:v>25</c:v>
                </c:pt>
                <c:pt idx="4">
                  <c:v>12.5</c:v>
                </c:pt>
                <c:pt idx="5">
                  <c:v>7.4074074074074074</c:v>
                </c:pt>
                <c:pt idx="6">
                  <c:v>42.857142857142847</c:v>
                </c:pt>
                <c:pt idx="7">
                  <c:v>34.782608695652172</c:v>
                </c:pt>
                <c:pt idx="8">
                  <c:v>60</c:v>
                </c:pt>
                <c:pt idx="9">
                  <c:v>28.571428571428569</c:v>
                </c:pt>
                <c:pt idx="10">
                  <c:v>33.333333333333329</c:v>
                </c:pt>
                <c:pt idx="11">
                  <c:v>10</c:v>
                </c:pt>
                <c:pt idx="12">
                  <c:v>12.5</c:v>
                </c:pt>
                <c:pt idx="13">
                  <c:v>29.166666666666671</c:v>
                </c:pt>
                <c:pt idx="14">
                  <c:v>34.782608695652172</c:v>
                </c:pt>
                <c:pt idx="15">
                  <c:v>32</c:v>
                </c:pt>
                <c:pt idx="16">
                  <c:v>44.444444444444443</c:v>
                </c:pt>
                <c:pt idx="17">
                  <c:v>50</c:v>
                </c:pt>
                <c:pt idx="18">
                  <c:v>7.6923076923076934</c:v>
                </c:pt>
                <c:pt idx="19">
                  <c:v>37.5</c:v>
                </c:pt>
                <c:pt idx="20">
                  <c:v>22.222222222222221</c:v>
                </c:pt>
                <c:pt idx="21">
                  <c:v>14.285714285714279</c:v>
                </c:pt>
                <c:pt idx="22">
                  <c:v>44.444444444444443</c:v>
                </c:pt>
                <c:pt idx="23">
                  <c:v>24.137931034482762</c:v>
                </c:pt>
                <c:pt idx="24">
                  <c:v>28</c:v>
                </c:pt>
                <c:pt idx="25">
                  <c:v>38.095238095238088</c:v>
                </c:pt>
                <c:pt idx="26">
                  <c:v>26.666666666666671</c:v>
                </c:pt>
                <c:pt idx="27">
                  <c:v>11.53846153846154</c:v>
                </c:pt>
                <c:pt idx="28">
                  <c:v>36.84210526315789</c:v>
                </c:pt>
                <c:pt idx="29">
                  <c:v>12.5</c:v>
                </c:pt>
                <c:pt idx="30">
                  <c:v>62.5</c:v>
                </c:pt>
                <c:pt idx="31">
                  <c:v>40</c:v>
                </c:pt>
                <c:pt idx="32">
                  <c:v>42.857142857142847</c:v>
                </c:pt>
                <c:pt idx="33">
                  <c:v>15.789473684210529</c:v>
                </c:pt>
                <c:pt idx="34">
                  <c:v>25</c:v>
                </c:pt>
                <c:pt idx="35">
                  <c:v>50</c:v>
                </c:pt>
                <c:pt idx="36">
                  <c:v>29.62962962962963</c:v>
                </c:pt>
                <c:pt idx="37">
                  <c:v>26.92307692307692</c:v>
                </c:pt>
                <c:pt idx="38">
                  <c:v>50</c:v>
                </c:pt>
                <c:pt idx="39">
                  <c:v>19.047619047619051</c:v>
                </c:pt>
                <c:pt idx="40">
                  <c:v>44.444444444444443</c:v>
                </c:pt>
                <c:pt idx="41">
                  <c:v>16.666666666666661</c:v>
                </c:pt>
                <c:pt idx="42">
                  <c:v>30.434782608695659</c:v>
                </c:pt>
                <c:pt idx="43">
                  <c:v>21.428571428571431</c:v>
                </c:pt>
                <c:pt idx="44">
                  <c:v>66.666666666666657</c:v>
                </c:pt>
                <c:pt idx="45">
                  <c:v>13.33333333333333</c:v>
                </c:pt>
                <c:pt idx="46">
                  <c:v>12.5</c:v>
                </c:pt>
                <c:pt idx="47">
                  <c:v>28.571428571428569</c:v>
                </c:pt>
                <c:pt idx="48">
                  <c:v>31.81818181818182</c:v>
                </c:pt>
                <c:pt idx="49">
                  <c:v>12</c:v>
                </c:pt>
                <c:pt idx="50">
                  <c:v>12.5</c:v>
                </c:pt>
                <c:pt idx="51">
                  <c:v>70</c:v>
                </c:pt>
                <c:pt idx="52">
                  <c:v>50</c:v>
                </c:pt>
                <c:pt idx="53">
                  <c:v>11.76470588235294</c:v>
                </c:pt>
                <c:pt idx="54">
                  <c:v>35.294117647058833</c:v>
                </c:pt>
                <c:pt idx="55">
                  <c:v>50</c:v>
                </c:pt>
                <c:pt idx="56">
                  <c:v>26.315789473684209</c:v>
                </c:pt>
                <c:pt idx="57">
                  <c:v>44.444444444444443</c:v>
                </c:pt>
                <c:pt idx="58">
                  <c:v>12.5</c:v>
                </c:pt>
                <c:pt idx="59">
                  <c:v>13.63636363636363</c:v>
                </c:pt>
                <c:pt idx="60">
                  <c:v>10.71428571428571</c:v>
                </c:pt>
                <c:pt idx="61">
                  <c:v>8.3333333333333321</c:v>
                </c:pt>
                <c:pt idx="62">
                  <c:v>57.142857142857139</c:v>
                </c:pt>
                <c:pt idx="63">
                  <c:v>6.666666666666667</c:v>
                </c:pt>
                <c:pt idx="64">
                  <c:v>40</c:v>
                </c:pt>
                <c:pt idx="65">
                  <c:v>23.07692307692308</c:v>
                </c:pt>
                <c:pt idx="66">
                  <c:v>25</c:v>
                </c:pt>
                <c:pt idx="67">
                  <c:v>64.285714285714292</c:v>
                </c:pt>
                <c:pt idx="68">
                  <c:v>100</c:v>
                </c:pt>
                <c:pt idx="69">
                  <c:v>11.76470588235294</c:v>
                </c:pt>
                <c:pt idx="70">
                  <c:v>24</c:v>
                </c:pt>
                <c:pt idx="71">
                  <c:v>33.333333333333329</c:v>
                </c:pt>
                <c:pt idx="72">
                  <c:v>17.647058823529409</c:v>
                </c:pt>
                <c:pt idx="73">
                  <c:v>75</c:v>
                </c:pt>
                <c:pt idx="74">
                  <c:v>9.0909090909090917</c:v>
                </c:pt>
                <c:pt idx="75">
                  <c:v>47.058823529411761</c:v>
                </c:pt>
                <c:pt idx="76">
                  <c:v>23.07692307692308</c:v>
                </c:pt>
                <c:pt idx="77">
                  <c:v>30</c:v>
                </c:pt>
                <c:pt idx="78">
                  <c:v>21.05263157894737</c:v>
                </c:pt>
                <c:pt idx="79">
                  <c:v>36.363636363636367</c:v>
                </c:pt>
                <c:pt idx="80">
                  <c:v>10.3448275862069</c:v>
                </c:pt>
                <c:pt idx="81">
                  <c:v>12.5</c:v>
                </c:pt>
                <c:pt idx="82">
                  <c:v>33.333333333333329</c:v>
                </c:pt>
                <c:pt idx="83">
                  <c:v>7.6923076923076934</c:v>
                </c:pt>
                <c:pt idx="84">
                  <c:v>9.5238095238095237</c:v>
                </c:pt>
                <c:pt idx="85">
                  <c:v>34.782608695652172</c:v>
                </c:pt>
                <c:pt idx="86">
                  <c:v>100</c:v>
                </c:pt>
                <c:pt idx="87">
                  <c:v>23.07692307692308</c:v>
                </c:pt>
                <c:pt idx="88">
                  <c:v>8.3333333333333321</c:v>
                </c:pt>
                <c:pt idx="89">
                  <c:v>30.76923076923077</c:v>
                </c:pt>
                <c:pt idx="90">
                  <c:v>25</c:v>
                </c:pt>
                <c:pt idx="91">
                  <c:v>16</c:v>
                </c:pt>
                <c:pt idx="92">
                  <c:v>26.92307692307692</c:v>
                </c:pt>
                <c:pt idx="93">
                  <c:v>20</c:v>
                </c:pt>
                <c:pt idx="94">
                  <c:v>28.571428571428569</c:v>
                </c:pt>
                <c:pt idx="95">
                  <c:v>25</c:v>
                </c:pt>
                <c:pt idx="96">
                  <c:v>72.727272727272734</c:v>
                </c:pt>
                <c:pt idx="97">
                  <c:v>9.0909090909090917</c:v>
                </c:pt>
                <c:pt idx="98">
                  <c:v>19.047619047619051</c:v>
                </c:pt>
                <c:pt idx="99">
                  <c:v>37.5</c:v>
                </c:pt>
                <c:pt idx="100">
                  <c:v>26.92307692307692</c:v>
                </c:pt>
                <c:pt idx="101">
                  <c:v>30</c:v>
                </c:pt>
                <c:pt idx="102">
                  <c:v>24</c:v>
                </c:pt>
                <c:pt idx="103">
                  <c:v>120</c:v>
                </c:pt>
                <c:pt idx="104">
                  <c:v>12</c:v>
                </c:pt>
                <c:pt idx="105">
                  <c:v>24</c:v>
                </c:pt>
                <c:pt idx="106">
                  <c:v>20</c:v>
                </c:pt>
                <c:pt idx="107">
                  <c:v>18.18181818181818</c:v>
                </c:pt>
                <c:pt idx="108">
                  <c:v>41.17647058823529</c:v>
                </c:pt>
                <c:pt idx="109">
                  <c:v>13.043478260869559</c:v>
                </c:pt>
                <c:pt idx="110">
                  <c:v>50</c:v>
                </c:pt>
                <c:pt idx="111">
                  <c:v>8</c:v>
                </c:pt>
                <c:pt idx="112">
                  <c:v>47.368421052631582</c:v>
                </c:pt>
                <c:pt idx="113">
                  <c:v>18.75</c:v>
                </c:pt>
                <c:pt idx="114">
                  <c:v>38.888888888888893</c:v>
                </c:pt>
                <c:pt idx="115">
                  <c:v>36.84210526315789</c:v>
                </c:pt>
                <c:pt idx="116">
                  <c:v>60</c:v>
                </c:pt>
                <c:pt idx="117">
                  <c:v>37.5</c:v>
                </c:pt>
                <c:pt idx="118">
                  <c:v>27.27272727272727</c:v>
                </c:pt>
                <c:pt idx="119">
                  <c:v>57.142857142857139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62-4842-A66C-8208F7203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211247"/>
        <c:axId val="1640171951"/>
      </c:barChart>
      <c:catAx>
        <c:axId val="60821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71951"/>
        <c:crosses val="autoZero"/>
        <c:auto val="1"/>
        <c:lblAlgn val="ctr"/>
        <c:lblOffset val="100"/>
        <c:noMultiLvlLbl val="0"/>
      </c:catAx>
      <c:valAx>
        <c:axId val="164017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21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Occupancy by Zone (Top 10)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'Zone Analysis'!$C$1</c:f>
              <c:strCache>
                <c:ptCount val="1"/>
                <c:pt idx="0">
                  <c:v>avg_occupancy</c:v>
                </c:pt>
              </c:strCache>
            </c:strRef>
          </c:tx>
          <c:invertIfNegative val="0"/>
          <c:cat>
            <c:strRef>
              <c:f>'Zone Analysis'!$A$2:$A$11</c:f>
              <c:strCache>
                <c:ptCount val="10"/>
                <c:pt idx="0">
                  <c:v>Z104</c:v>
                </c:pt>
                <c:pt idx="1">
                  <c:v>Z069</c:v>
                </c:pt>
                <c:pt idx="2">
                  <c:v>Z087</c:v>
                </c:pt>
                <c:pt idx="3">
                  <c:v>Z117</c:v>
                </c:pt>
                <c:pt idx="4">
                  <c:v>Z074</c:v>
                </c:pt>
                <c:pt idx="5">
                  <c:v>Z045</c:v>
                </c:pt>
                <c:pt idx="6">
                  <c:v>Z056</c:v>
                </c:pt>
                <c:pt idx="7">
                  <c:v>Z036</c:v>
                </c:pt>
                <c:pt idx="8">
                  <c:v>Z001</c:v>
                </c:pt>
                <c:pt idx="9">
                  <c:v>Z009</c:v>
                </c:pt>
              </c:strCache>
            </c:strRef>
          </c:cat>
          <c:val>
            <c:numRef>
              <c:f>'Zone Analysis'!$C$2:$C$11</c:f>
              <c:numCache>
                <c:formatCode>General</c:formatCode>
                <c:ptCount val="10"/>
                <c:pt idx="0">
                  <c:v>30.672672672672672</c:v>
                </c:pt>
                <c:pt idx="1">
                  <c:v>25.264750378214821</c:v>
                </c:pt>
                <c:pt idx="2">
                  <c:v>22.662984350154819</c:v>
                </c:pt>
                <c:pt idx="3">
                  <c:v>21.045751633986931</c:v>
                </c:pt>
                <c:pt idx="4">
                  <c:v>19.75386779184247</c:v>
                </c:pt>
                <c:pt idx="5">
                  <c:v>19.34835076427996</c:v>
                </c:pt>
                <c:pt idx="6">
                  <c:v>18.370986920332939</c:v>
                </c:pt>
                <c:pt idx="7">
                  <c:v>17.2562893081761</c:v>
                </c:pt>
                <c:pt idx="8">
                  <c:v>16.36073423782921</c:v>
                </c:pt>
                <c:pt idx="9">
                  <c:v>16.311592138991742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D-4983-AD63-E029848CF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Zone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Parking Occupancy by Hour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'Peak Time'!$B$1</c:f>
              <c:strCache>
                <c:ptCount val="1"/>
                <c:pt idx="0">
                  <c:v>avg_occupancy</c:v>
                </c:pt>
              </c:strCache>
            </c:strRef>
          </c:tx>
          <c:marker>
            <c:symbol val="none"/>
          </c:marker>
          <c:cat>
            <c:numRef>
              <c:f>'Peak Time'!$A$2:$A$25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'Peak Time'!$B$2:$B$25</c:f>
              <c:numCache>
                <c:formatCode>General</c:formatCode>
                <c:ptCount val="24"/>
                <c:pt idx="0">
                  <c:v>7.7057176247635972</c:v>
                </c:pt>
                <c:pt idx="1">
                  <c:v>7.0172383713089603</c:v>
                </c:pt>
                <c:pt idx="2">
                  <c:v>6.6628015397690188</c:v>
                </c:pt>
                <c:pt idx="3">
                  <c:v>6.384481287165122</c:v>
                </c:pt>
                <c:pt idx="4">
                  <c:v>6.2861680046697526</c:v>
                </c:pt>
                <c:pt idx="5">
                  <c:v>6.0723972585385626</c:v>
                </c:pt>
                <c:pt idx="6">
                  <c:v>6.5398650852947862</c:v>
                </c:pt>
                <c:pt idx="7">
                  <c:v>6.7819549598341213</c:v>
                </c:pt>
                <c:pt idx="8">
                  <c:v>7.0545323866053851</c:v>
                </c:pt>
                <c:pt idx="9">
                  <c:v>7.5059437789015426</c:v>
                </c:pt>
                <c:pt idx="10">
                  <c:v>8.0253672056219489</c:v>
                </c:pt>
                <c:pt idx="11">
                  <c:v>8.5164331052368976</c:v>
                </c:pt>
                <c:pt idx="12">
                  <c:v>8.9351830711311369</c:v>
                </c:pt>
                <c:pt idx="13">
                  <c:v>9.1285785227043394</c:v>
                </c:pt>
                <c:pt idx="14">
                  <c:v>9.23808309756404</c:v>
                </c:pt>
                <c:pt idx="15">
                  <c:v>9.4437366251693184</c:v>
                </c:pt>
                <c:pt idx="16">
                  <c:v>9.8407971937013681</c:v>
                </c:pt>
                <c:pt idx="17">
                  <c:v>10.450732425058129</c:v>
                </c:pt>
                <c:pt idx="18">
                  <c:v>11.22214876028446</c:v>
                </c:pt>
                <c:pt idx="19">
                  <c:v>11.6125814141239</c:v>
                </c:pt>
                <c:pt idx="20">
                  <c:v>11.282837501711411</c:v>
                </c:pt>
                <c:pt idx="21">
                  <c:v>9.9523775539733776</c:v>
                </c:pt>
                <c:pt idx="22">
                  <c:v>8.6980595799452232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B-4788-8CFA-511407625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Lowest Turnover Zones (Bottom 10)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'Turnover Summary'!$F$1</c:f>
              <c:strCache>
                <c:ptCount val="1"/>
                <c:pt idx="0">
                  <c:v>avg_daily_turnover</c:v>
                </c:pt>
              </c:strCache>
            </c:strRef>
          </c:tx>
          <c:invertIfNegative val="0"/>
          <c:cat>
            <c:strRef>
              <c:f>'Turnover Summary'!$A$2:$A$11</c:f>
              <c:strCache>
                <c:ptCount val="10"/>
                <c:pt idx="0">
                  <c:v>Z064</c:v>
                </c:pt>
                <c:pt idx="1">
                  <c:v>Z012</c:v>
                </c:pt>
                <c:pt idx="2">
                  <c:v>Z081</c:v>
                </c:pt>
                <c:pt idx="3">
                  <c:v>Z061</c:v>
                </c:pt>
                <c:pt idx="4">
                  <c:v>Z028</c:v>
                </c:pt>
                <c:pt idx="5">
                  <c:v>Z019</c:v>
                </c:pt>
                <c:pt idx="6">
                  <c:v>Z112</c:v>
                </c:pt>
                <c:pt idx="7">
                  <c:v>Z084</c:v>
                </c:pt>
                <c:pt idx="8">
                  <c:v>Z006</c:v>
                </c:pt>
                <c:pt idx="9">
                  <c:v>Z051</c:v>
                </c:pt>
              </c:strCache>
            </c:strRef>
          </c:cat>
          <c:val>
            <c:numRef>
              <c:f>'Turnover Summary'!$F$2:$F$11</c:f>
              <c:numCache>
                <c:formatCode>General</c:formatCode>
                <c:ptCount val="10"/>
                <c:pt idx="0">
                  <c:v>4.2753623188405802E-2</c:v>
                </c:pt>
                <c:pt idx="1">
                  <c:v>4.2925659472422058E-2</c:v>
                </c:pt>
                <c:pt idx="2">
                  <c:v>4.4681884409907717E-2</c:v>
                </c:pt>
                <c:pt idx="3">
                  <c:v>4.4999999999999998E-2</c:v>
                </c:pt>
                <c:pt idx="4">
                  <c:v>4.5319022063208113E-2</c:v>
                </c:pt>
                <c:pt idx="5">
                  <c:v>4.5707915273132657E-2</c:v>
                </c:pt>
                <c:pt idx="6">
                  <c:v>4.6315789473684213E-2</c:v>
                </c:pt>
                <c:pt idx="7">
                  <c:v>4.6785304247990822E-2</c:v>
                </c:pt>
                <c:pt idx="8">
                  <c:v>4.6948356807511728E-2</c:v>
                </c:pt>
                <c:pt idx="9">
                  <c:v>4.8563218390804602E-2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E-47A3-AA67-4F8742D27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Zone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Turns / space / 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Event vs Normal-Day Occupancy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'Event Comparison'!$D$1</c:f>
              <c:strCache>
                <c:ptCount val="1"/>
                <c:pt idx="0">
                  <c:v>avg_occupancy</c:v>
                </c:pt>
              </c:strCache>
            </c:strRef>
          </c:tx>
          <c:invertIfNegative val="0"/>
          <c:cat>
            <c:numRef>
              <c:f>'Event Comparison'!$A$2:$A$3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'Event Comparison'!$D$2:$D$3</c:f>
              <c:numCache>
                <c:formatCode>General</c:formatCode>
                <c:ptCount val="2"/>
                <c:pt idx="0">
                  <c:v>9.4722735613898799</c:v>
                </c:pt>
                <c:pt idx="1">
                  <c:v>10.1373088901789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F-4D06-A0FA-E5BCF7ADF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Rain vs No-Rain Parking Occupancy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'Weather Comparison'!$D$1</c:f>
              <c:strCache>
                <c:ptCount val="1"/>
                <c:pt idx="0">
                  <c:v>avg_occupancy</c:v>
                </c:pt>
              </c:strCache>
            </c:strRef>
          </c:tx>
          <c:invertIfNegative val="0"/>
          <c:cat>
            <c:numRef>
              <c:f>'Weather Comparison'!$A$2:$A$3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'Weather Comparison'!$D$2:$D$3</c:f>
              <c:numCache>
                <c:formatCode>General</c:formatCode>
                <c:ptCount val="2"/>
                <c:pt idx="0">
                  <c:v>9.4670370916751398</c:v>
                </c:pt>
                <c:pt idx="1">
                  <c:v>9.7966642144691871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0-4E27-A91D-A7E263198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Parking Duration by Zone Type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'Duration Distribution'!$B$1</c:f>
              <c:strCache>
                <c:ptCount val="1"/>
                <c:pt idx="0">
                  <c:v>avg_duration_min</c:v>
                </c:pt>
              </c:strCache>
            </c:strRef>
          </c:tx>
          <c:invertIfNegative val="0"/>
          <c:cat>
            <c:strRef>
              <c:f>'Duration Distribution'!$A$2:$A$5</c:f>
              <c:strCache>
                <c:ptCount val="4"/>
                <c:pt idx="0">
                  <c:v>Commercial</c:v>
                </c:pt>
                <c:pt idx="1">
                  <c:v>Recreational</c:v>
                </c:pt>
                <c:pt idx="2">
                  <c:v>Residential</c:v>
                </c:pt>
                <c:pt idx="3">
                  <c:v>Transit</c:v>
                </c:pt>
              </c:strCache>
            </c:strRef>
          </c:cat>
          <c:val>
            <c:numRef>
              <c:f>'Duration Distribution'!$B$2:$B$5</c:f>
              <c:numCache>
                <c:formatCode>General</c:formatCode>
                <c:ptCount val="4"/>
                <c:pt idx="0">
                  <c:v>154.75531754885131</c:v>
                </c:pt>
                <c:pt idx="1">
                  <c:v>157.8119557195572</c:v>
                </c:pt>
                <c:pt idx="2">
                  <c:v>157.1754121526142</c:v>
                </c:pt>
                <c:pt idx="3">
                  <c:v>154.20809716599189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4-410B-AB21-7D103ADD6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Minutes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4</xdr:col>
      <xdr:colOff>190500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9</xdr:col>
      <xdr:colOff>247650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17</xdr:row>
      <xdr:rowOff>156210</xdr:rowOff>
    </xdr:from>
    <xdr:to>
      <xdr:col>11</xdr:col>
      <xdr:colOff>396240</xdr:colOff>
      <xdr:row>32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E43EF-1530-BBE2-7628-C88641B6E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</xdr:row>
      <xdr:rowOff>179070</xdr:rowOff>
    </xdr:from>
    <xdr:to>
      <xdr:col>11</xdr:col>
      <xdr:colOff>419100</xdr:colOff>
      <xdr:row>16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3AAC67-748C-800E-A24D-B599760BD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95250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95250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17</xdr:col>
      <xdr:colOff>95250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95250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95250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95250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%20Sess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Zon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ed Sess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nes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mitha Y" refreshedDate="46308.607816203701" createdVersion="8" refreshedVersion="8" minRefreshableVersion="3" recordCount="120" xr:uid="{E4F96B90-E0E1-433E-8423-8960D0467824}">
  <cacheSource type="worksheet">
    <worksheetSource ref="A1:E121" sheet="Zone Analysis"/>
  </cacheSource>
  <cacheFields count="5">
    <cacheField name="zone" numFmtId="0">
      <sharedItems count="120">
        <s v="Z104"/>
        <s v="Z069"/>
        <s v="Z087"/>
        <s v="Z117"/>
        <s v="Z074"/>
        <s v="Z045"/>
        <s v="Z056"/>
        <s v="Z036"/>
        <s v="Z001"/>
        <s v="Z009"/>
        <s v="Z052"/>
        <s v="Z120"/>
        <s v="Z010"/>
        <s v="Z033"/>
        <s v="Z007"/>
        <s v="Z097"/>
        <s v="Z018"/>
        <s v="Z100"/>
        <s v="Z118"/>
        <s v="Z111"/>
        <s v="Z039"/>
        <s v="Z058"/>
        <s v="Z023"/>
        <s v="Z083"/>
        <s v="Z072"/>
        <s v="Z041"/>
        <s v="Z063"/>
        <s v="Z068"/>
        <s v="Z053"/>
        <s v="Z032"/>
        <s v="Z065"/>
        <s v="Z102"/>
        <s v="Z078"/>
        <s v="Z031"/>
        <s v="Z076"/>
        <s v="Z119"/>
        <s v="Z109"/>
        <s v="Z115"/>
        <s v="Z096"/>
        <s v="Z055"/>
        <s v="Z017"/>
        <s v="Z011"/>
        <s v="Z029"/>
        <s v="Z113"/>
        <s v="Z116"/>
        <s v="Z077"/>
        <s v="Z088"/>
        <s v="Z026"/>
        <s v="Z066"/>
        <s v="Z044"/>
        <s v="Z049"/>
        <s v="Z027"/>
        <s v="Z080"/>
        <s v="Z022"/>
        <s v="Z008"/>
        <s v="Z015"/>
        <s v="Z091"/>
        <s v="Z043"/>
        <s v="Z086"/>
        <s v="Z094"/>
        <s v="Z004"/>
        <s v="Z020"/>
        <s v="Z014"/>
        <s v="Z016"/>
        <s v="Z114"/>
        <s v="Z071"/>
        <s v="Z103"/>
        <s v="Z106"/>
        <s v="Z025"/>
        <s v="Z093"/>
        <s v="Z090"/>
        <s v="Z082"/>
        <s v="Z005"/>
        <s v="Z030"/>
        <s v="Z038"/>
        <s v="Z047"/>
        <s v="Z021"/>
        <s v="Z037"/>
        <s v="Z073"/>
        <s v="Z101"/>
        <s v="Z057"/>
        <s v="Z095"/>
        <s v="Z054"/>
        <s v="Z067"/>
        <s v="Z070"/>
        <s v="Z079"/>
        <s v="Z035"/>
        <s v="Z048"/>
        <s v="Z024"/>
        <s v="Z034"/>
        <s v="Z099"/>
        <s v="Z108"/>
        <s v="Z040"/>
        <s v="Z042"/>
        <s v="Z003"/>
        <s v="Z085"/>
        <s v="Z060"/>
        <s v="Z107"/>
        <s v="Z098"/>
        <s v="Z075"/>
        <s v="Z110"/>
        <s v="Z013"/>
        <s v="Z050"/>
        <s v="Z092"/>
        <s v="Z062"/>
        <s v="Z051"/>
        <s v="Z089"/>
        <s v="Z059"/>
        <s v="Z002"/>
        <s v="Z105"/>
        <s v="Z112"/>
        <s v="Z028"/>
        <s v="Z084"/>
        <s v="Z019"/>
        <s v="Z046"/>
        <s v="Z006"/>
        <s v="Z061"/>
        <s v="Z081"/>
        <s v="Z012"/>
        <s v="Z064"/>
      </sharedItems>
    </cacheField>
    <cacheField name="zone_type" numFmtId="0">
      <sharedItems count="4">
        <s v="Commercial"/>
        <s v="Residential"/>
        <s v="Transit"/>
        <s v="Recreational"/>
      </sharedItems>
    </cacheField>
    <cacheField name="avg_occupancy" numFmtId="0">
      <sharedItems containsSemiMixedTypes="0" containsString="0" containsNumber="1" minValue="3.562255723059744" maxValue="30.672672672672672"/>
    </cacheField>
    <cacheField name="max_occupancy" numFmtId="0">
      <sharedItems containsSemiMixedTypes="0" containsString="0" containsNumber="1" minValue="6.666666666666667" maxValue="120"/>
    </cacheField>
    <cacheField name="total_sessions" numFmtId="0">
      <sharedItems containsSemiMixedTypes="0" containsString="0" containsNumber="1" containsInteger="1" minValue="119" maxValue="18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30.672672672672672"/>
    <n v="120"/>
    <n v="1417"/>
  </r>
  <r>
    <x v="1"/>
    <x v="0"/>
    <n v="25.264750378214821"/>
    <n v="100"/>
    <n v="1388"/>
  </r>
  <r>
    <x v="2"/>
    <x v="0"/>
    <n v="22.662984350154819"/>
    <n v="100"/>
    <n v="1518"/>
  </r>
  <r>
    <x v="3"/>
    <x v="1"/>
    <n v="21.045751633986931"/>
    <n v="60"/>
    <n v="132"/>
  </r>
  <r>
    <x v="4"/>
    <x v="0"/>
    <n v="19.75386779184247"/>
    <n v="75"/>
    <n v="1577"/>
  </r>
  <r>
    <x v="5"/>
    <x v="2"/>
    <n v="19.34835076427996"/>
    <n v="66.666666666666657"/>
    <n v="408"/>
  </r>
  <r>
    <x v="6"/>
    <x v="3"/>
    <n v="18.370986920332939"/>
    <n v="50"/>
    <n v="263"/>
  </r>
  <r>
    <x v="7"/>
    <x v="1"/>
    <n v="17.2562893081761"/>
    <n v="50"/>
    <n v="119"/>
  </r>
  <r>
    <x v="8"/>
    <x v="2"/>
    <n v="16.36073423782921"/>
    <n v="42.857142857142847"/>
    <n v="429"/>
  </r>
  <r>
    <x v="9"/>
    <x v="0"/>
    <n v="16.311592138991742"/>
    <n v="60"/>
    <n v="1594"/>
  </r>
  <r>
    <x v="10"/>
    <x v="0"/>
    <n v="16.2602778565353"/>
    <n v="70"/>
    <n v="1585"/>
  </r>
  <r>
    <x v="11"/>
    <x v="2"/>
    <n v="16.151426401995881"/>
    <n v="57.142857142857139"/>
    <n v="414"/>
  </r>
  <r>
    <x v="12"/>
    <x v="1"/>
    <n v="15.12605042016807"/>
    <n v="28.571428571428569"/>
    <n v="142"/>
  </r>
  <r>
    <x v="13"/>
    <x v="1"/>
    <n v="14.81597005614473"/>
    <n v="42.857142857142847"/>
    <n v="139"/>
  </r>
  <r>
    <x v="14"/>
    <x v="1"/>
    <n v="14.78260869565217"/>
    <n v="42.857142857142847"/>
    <n v="130"/>
  </r>
  <r>
    <x v="15"/>
    <x v="0"/>
    <n v="14.720634841414419"/>
    <n v="72.727272727272734"/>
    <n v="1658"/>
  </r>
  <r>
    <x v="16"/>
    <x v="2"/>
    <n v="14.337952270977681"/>
    <n v="50"/>
    <n v="438"/>
  </r>
  <r>
    <x v="17"/>
    <x v="2"/>
    <n v="14.26005747126437"/>
    <n v="37.5"/>
    <n v="453"/>
  </r>
  <r>
    <x v="18"/>
    <x v="3"/>
    <n v="13.79504504504505"/>
    <n v="37.5"/>
    <n v="260"/>
  </r>
  <r>
    <x v="19"/>
    <x v="0"/>
    <n v="13.6438809261301"/>
    <n v="50"/>
    <n v="1675"/>
  </r>
  <r>
    <x v="20"/>
    <x v="0"/>
    <n v="13.374952705259171"/>
    <n v="50"/>
    <n v="1563"/>
  </r>
  <r>
    <x v="21"/>
    <x v="2"/>
    <n v="13.05035372451103"/>
    <n v="44.444444444444443"/>
    <n v="438"/>
  </r>
  <r>
    <x v="22"/>
    <x v="2"/>
    <n v="12.727433315668611"/>
    <n v="44.444444444444443"/>
    <n v="399"/>
  </r>
  <r>
    <x v="23"/>
    <x v="3"/>
    <n v="12.37373737373737"/>
    <n v="33.333333333333329"/>
    <n v="272"/>
  </r>
  <r>
    <x v="24"/>
    <x v="3"/>
    <n v="12.204671256919131"/>
    <n v="33.333333333333329"/>
    <n v="258"/>
  </r>
  <r>
    <x v="25"/>
    <x v="3"/>
    <n v="12.14294702403423"/>
    <n v="44.444444444444443"/>
    <n v="277"/>
  </r>
  <r>
    <x v="26"/>
    <x v="0"/>
    <n v="11.99391933497537"/>
    <n v="57.142857142857139"/>
    <n v="1713"/>
  </r>
  <r>
    <x v="27"/>
    <x v="0"/>
    <n v="11.662000605326879"/>
    <n v="64.285714285714292"/>
    <n v="1715"/>
  </r>
  <r>
    <x v="28"/>
    <x v="0"/>
    <n v="11.64299560865609"/>
    <n v="50"/>
    <n v="1649"/>
  </r>
  <r>
    <x v="29"/>
    <x v="2"/>
    <n v="11.58959537572254"/>
    <n v="40"/>
    <n v="446"/>
  </r>
  <r>
    <x v="30"/>
    <x v="0"/>
    <n v="11.18059299191375"/>
    <n v="40"/>
    <n v="1747"/>
  </r>
  <r>
    <x v="31"/>
    <x v="3"/>
    <n v="11.061946902654871"/>
    <n v="30"/>
    <n v="254"/>
  </r>
  <r>
    <x v="32"/>
    <x v="1"/>
    <n v="10.67924528301887"/>
    <n v="30"/>
    <n v="158"/>
  </r>
  <r>
    <x v="33"/>
    <x v="0"/>
    <n v="10.46188370846731"/>
    <n v="62.5"/>
    <n v="1743"/>
  </r>
  <r>
    <x v="34"/>
    <x v="0"/>
    <n v="9.8298236071178806"/>
    <n v="47.058823529411761"/>
    <n v="1795"/>
  </r>
  <r>
    <x v="35"/>
    <x v="3"/>
    <n v="9.7854255208873226"/>
    <n v="27.27272727272727"/>
    <n v="259"/>
  </r>
  <r>
    <x v="36"/>
    <x v="0"/>
    <n v="9.6650236720928717"/>
    <n v="41.17647058823529"/>
    <n v="1669"/>
  </r>
  <r>
    <x v="37"/>
    <x v="0"/>
    <n v="9.6461036095666746"/>
    <n v="38.888888888888893"/>
    <n v="1817"/>
  </r>
  <r>
    <x v="38"/>
    <x v="2"/>
    <n v="9.5300423834455223"/>
    <n v="25"/>
    <n v="442"/>
  </r>
  <r>
    <x v="39"/>
    <x v="0"/>
    <n v="9.4159966144731264"/>
    <n v="35.294117647058833"/>
    <n v="1630"/>
  </r>
  <r>
    <x v="40"/>
    <x v="0"/>
    <n v="9.3364641236981658"/>
    <n v="44.444444444444443"/>
    <n v="1642"/>
  </r>
  <r>
    <x v="41"/>
    <x v="0"/>
    <n v="9.1485172880521723"/>
    <n v="33.333333333333329"/>
    <n v="1663"/>
  </r>
  <r>
    <x v="42"/>
    <x v="0"/>
    <n v="8.9146514935988606"/>
    <n v="36.84210526315789"/>
    <n v="1757"/>
  </r>
  <r>
    <x v="43"/>
    <x v="0"/>
    <n v="8.7512844695316776"/>
    <n v="47.368421052631582"/>
    <n v="1746"/>
  </r>
  <r>
    <x v="44"/>
    <x v="0"/>
    <n v="8.6850649350649345"/>
    <n v="36.84210526315789"/>
    <n v="1722"/>
  </r>
  <r>
    <x v="45"/>
    <x v="3"/>
    <n v="8.3030893157475436"/>
    <n v="23.07692307692308"/>
    <n v="258"/>
  </r>
  <r>
    <x v="46"/>
    <x v="1"/>
    <n v="8.0497569345152975"/>
    <n v="23.07692307692308"/>
    <n v="161"/>
  </r>
  <r>
    <x v="47"/>
    <x v="0"/>
    <n v="7.9949743742847188"/>
    <n v="38.095238095238088"/>
    <n v="1807"/>
  </r>
  <r>
    <x v="48"/>
    <x v="1"/>
    <n v="7.963465106322249"/>
    <n v="23.07692307692308"/>
    <n v="150"/>
  </r>
  <r>
    <x v="49"/>
    <x v="3"/>
    <n v="7.8343548640578344"/>
    <n v="21.428571428571431"/>
    <n v="273"/>
  </r>
  <r>
    <x v="50"/>
    <x v="0"/>
    <n v="7.8111779637115726"/>
    <n v="31.81818181818182"/>
    <n v="1846"/>
  </r>
  <r>
    <x v="51"/>
    <x v="2"/>
    <n v="7.8018018018018029"/>
    <n v="26.666666666666671"/>
    <n v="498"/>
  </r>
  <r>
    <x v="52"/>
    <x v="0"/>
    <n v="7.7638125163655411"/>
    <n v="36.363636363636367"/>
    <n v="1821"/>
  </r>
  <r>
    <x v="53"/>
    <x v="1"/>
    <n v="7.5416373445930089"/>
    <n v="14.285714285714279"/>
    <n v="172"/>
  </r>
  <r>
    <x v="54"/>
    <x v="0"/>
    <n v="7.4350604250590351"/>
    <n v="34.782608695652172"/>
    <n v="1808"/>
  </r>
  <r>
    <x v="55"/>
    <x v="0"/>
    <n v="7.425114182335844"/>
    <n v="34.782608695652172"/>
    <n v="1771"/>
  </r>
  <r>
    <x v="56"/>
    <x v="2"/>
    <n v="7.400497512437811"/>
    <n v="25"/>
    <n v="467"/>
  </r>
  <r>
    <x v="57"/>
    <x v="0"/>
    <n v="7.3598880939277196"/>
    <n v="30.434782608695659"/>
    <n v="1794"/>
  </r>
  <r>
    <x v="58"/>
    <x v="0"/>
    <n v="7.3486014512041287"/>
    <n v="34.782608695652172"/>
    <n v="1783"/>
  </r>
  <r>
    <x v="59"/>
    <x v="1"/>
    <n v="7.218683651804672"/>
    <n v="20"/>
    <n v="181"/>
  </r>
  <r>
    <x v="60"/>
    <x v="2"/>
    <n v="7.2062591508052707"/>
    <n v="25"/>
    <n v="441"/>
  </r>
  <r>
    <x v="61"/>
    <x v="2"/>
    <n v="7.183676754668384"/>
    <n v="37.5"/>
    <n v="504"/>
  </r>
  <r>
    <x v="62"/>
    <x v="0"/>
    <n v="7.0896180647437594"/>
    <n v="29.166666666666671"/>
    <n v="1819"/>
  </r>
  <r>
    <x v="63"/>
    <x v="0"/>
    <n v="6.8977594643317026"/>
    <n v="32"/>
    <n v="1858"/>
  </r>
  <r>
    <x v="64"/>
    <x v="3"/>
    <n v="6.8728522336769764"/>
    <n v="18.75"/>
    <n v="271"/>
  </r>
  <r>
    <x v="65"/>
    <x v="0"/>
    <n v="6.8489054991991454"/>
    <n v="24"/>
    <n v="1814"/>
  </r>
  <r>
    <x v="66"/>
    <x v="0"/>
    <n v="6.7927083333333336"/>
    <n v="24"/>
    <n v="1818"/>
  </r>
  <r>
    <x v="67"/>
    <x v="0"/>
    <n v="6.7811430076376089"/>
    <n v="24"/>
    <n v="1803"/>
  </r>
  <r>
    <x v="68"/>
    <x v="0"/>
    <n v="6.6560424966799472"/>
    <n v="28"/>
    <n v="1769"/>
  </r>
  <r>
    <x v="69"/>
    <x v="0"/>
    <n v="6.6457420826352864"/>
    <n v="26.92307692307692"/>
    <n v="1814"/>
  </r>
  <r>
    <x v="70"/>
    <x v="0"/>
    <n v="6.6411342894393748"/>
    <n v="30.76923076923077"/>
    <n v="1847"/>
  </r>
  <r>
    <x v="71"/>
    <x v="1"/>
    <n v="6.637596899224806"/>
    <n v="12.5"/>
    <n v="160"/>
  </r>
  <r>
    <x v="72"/>
    <x v="1"/>
    <n v="6.635662431941924"/>
    <n v="12.5"/>
    <n v="165"/>
  </r>
  <r>
    <x v="73"/>
    <x v="1"/>
    <n v="6.6144939965694682"/>
    <n v="12.5"/>
    <n v="172"/>
  </r>
  <r>
    <x v="74"/>
    <x v="0"/>
    <n v="6.5779636701622506"/>
    <n v="26.92307692307692"/>
    <n v="1815"/>
  </r>
  <r>
    <x v="75"/>
    <x v="1"/>
    <n v="6.5711991434689514"/>
    <n v="12.5"/>
    <n v="136"/>
  </r>
  <r>
    <x v="76"/>
    <x v="2"/>
    <n v="6.5207925103418241"/>
    <n v="22.222222222222221"/>
    <n v="499"/>
  </r>
  <r>
    <x v="77"/>
    <x v="0"/>
    <n v="6.3995564663835172"/>
    <n v="29.62962962962963"/>
    <n v="1799"/>
  </r>
  <r>
    <x v="78"/>
    <x v="1"/>
    <n v="6.3806918116083642"/>
    <n v="17.647058823529409"/>
    <n v="184"/>
  </r>
  <r>
    <x v="79"/>
    <x v="0"/>
    <n v="6.3702241130132107"/>
    <n v="26.92307692307692"/>
    <n v="1752"/>
  </r>
  <r>
    <x v="80"/>
    <x v="2"/>
    <n v="6.2548232751967889"/>
    <n v="26.315789473684209"/>
    <n v="450"/>
  </r>
  <r>
    <x v="81"/>
    <x v="0"/>
    <n v="6.2333919682622847"/>
    <n v="28.571428571428569"/>
    <n v="1879"/>
  </r>
  <r>
    <x v="82"/>
    <x v="1"/>
    <n v="6.1860888933886802"/>
    <n v="11.76470588235294"/>
    <n v="174"/>
  </r>
  <r>
    <x v="83"/>
    <x v="0"/>
    <n v="6.1633436985549661"/>
    <n v="25"/>
    <n v="1868"/>
  </r>
  <r>
    <x v="84"/>
    <x v="1"/>
    <n v="6.1546840958605662"/>
    <n v="11.76470588235294"/>
    <n v="184"/>
  </r>
  <r>
    <x v="85"/>
    <x v="2"/>
    <n v="6.1348798190903464"/>
    <n v="21.05263157894737"/>
    <n v="465"/>
  </r>
  <r>
    <x v="86"/>
    <x v="0"/>
    <n v="6.0862596263679567"/>
    <n v="25"/>
    <n v="1849"/>
  </r>
  <r>
    <x v="87"/>
    <x v="0"/>
    <n v="5.9588159588159586"/>
    <n v="28.571428571428569"/>
    <n v="1818"/>
  </r>
  <r>
    <x v="88"/>
    <x v="0"/>
    <n v="5.8889678562753573"/>
    <n v="24.137931034482762"/>
    <n v="1848"/>
  </r>
  <r>
    <x v="89"/>
    <x v="1"/>
    <n v="5.7154605263157894"/>
    <n v="15.789473684210529"/>
    <n v="179"/>
  </r>
  <r>
    <x v="90"/>
    <x v="2"/>
    <n v="5.5828077551973836"/>
    <n v="19.047619047619051"/>
    <n v="464"/>
  </r>
  <r>
    <x v="91"/>
    <x v="2"/>
    <n v="5.2848101265822782"/>
    <n v="18.18181818181818"/>
    <n v="522"/>
  </r>
  <r>
    <x v="92"/>
    <x v="3"/>
    <n v="5.1822293163075281"/>
    <n v="19.047619047619051"/>
    <n v="272"/>
  </r>
  <r>
    <x v="93"/>
    <x v="2"/>
    <n v="5.0418814432989683"/>
    <n v="16.666666666666661"/>
    <n v="508"/>
  </r>
  <r>
    <x v="94"/>
    <x v="1"/>
    <n v="4.9401197604790434"/>
    <n v="9.0909090909090917"/>
    <n v="192"/>
  </r>
  <r>
    <x v="95"/>
    <x v="1"/>
    <n v="4.9292827851703072"/>
    <n v="9.5238095238095237"/>
    <n v="160"/>
  </r>
  <r>
    <x v="96"/>
    <x v="1"/>
    <n v="4.853869878102512"/>
    <n v="13.63636363636363"/>
    <n v="183"/>
  </r>
  <r>
    <x v="97"/>
    <x v="2"/>
    <n v="4.7881773399014778"/>
    <n v="20"/>
    <n v="479"/>
  </r>
  <r>
    <x v="98"/>
    <x v="1"/>
    <n v="4.7391725473917257"/>
    <n v="9.0909090909090917"/>
    <n v="187"/>
  </r>
  <r>
    <x v="99"/>
    <x v="1"/>
    <n v="4.7012599918710212"/>
    <n v="9.0909090909090917"/>
    <n v="187"/>
  </r>
  <r>
    <x v="100"/>
    <x v="3"/>
    <n v="4.673573723024024"/>
    <n v="13.043478260869559"/>
    <n v="291"/>
  </r>
  <r>
    <x v="101"/>
    <x v="3"/>
    <n v="4.548974061169182"/>
    <n v="12.5"/>
    <n v="253"/>
  </r>
  <r>
    <x v="102"/>
    <x v="3"/>
    <n v="4.4490216271884657"/>
    <n v="12"/>
    <n v="303"/>
  </r>
  <r>
    <x v="103"/>
    <x v="3"/>
    <n v="4.4382470119521908"/>
    <n v="16"/>
    <n v="301"/>
  </r>
  <r>
    <x v="104"/>
    <x v="1"/>
    <n v="4.4244704570791527"/>
    <n v="8.3333333333333321"/>
    <n v="180"/>
  </r>
  <r>
    <x v="105"/>
    <x v="1"/>
    <n v="4.3720657276995301"/>
    <n v="12.5"/>
    <n v="169"/>
  </r>
  <r>
    <x v="106"/>
    <x v="1"/>
    <n v="4.3626707132018199"/>
    <n v="8.3333333333333321"/>
    <n v="182"/>
  </r>
  <r>
    <x v="107"/>
    <x v="1"/>
    <n v="4.3540945790080734"/>
    <n v="12.5"/>
    <n v="176"/>
  </r>
  <r>
    <x v="108"/>
    <x v="1"/>
    <n v="4.3354037267080754"/>
    <n v="12"/>
    <n v="198"/>
  </r>
  <r>
    <x v="109"/>
    <x v="1"/>
    <n v="4.2972536348949921"/>
    <n v="12"/>
    <n v="175"/>
  </r>
  <r>
    <x v="110"/>
    <x v="1"/>
    <n v="4.1132075471698117"/>
    <n v="8"/>
    <n v="154"/>
  </r>
  <r>
    <x v="111"/>
    <x v="1"/>
    <n v="4.0462427745664744"/>
    <n v="11.53846153846154"/>
    <n v="152"/>
  </r>
  <r>
    <x v="112"/>
    <x v="1"/>
    <n v="4"/>
    <n v="7.6923076923076934"/>
    <n v="163"/>
  </r>
  <r>
    <x v="113"/>
    <x v="1"/>
    <n v="3.9872971065631622"/>
    <n v="7.6923076923076934"/>
    <n v="164"/>
  </r>
  <r>
    <x v="114"/>
    <x v="2"/>
    <n v="3.9456248572081338"/>
    <n v="13.33333333333333"/>
    <n v="469"/>
  </r>
  <r>
    <x v="115"/>
    <x v="1"/>
    <n v="3.890641430073607"/>
    <n v="7.4074074074074074"/>
    <n v="180"/>
  </r>
  <r>
    <x v="116"/>
    <x v="1"/>
    <n v="3.8087520259319292"/>
    <n v="10.71428571428571"/>
    <n v="189"/>
  </r>
  <r>
    <x v="117"/>
    <x v="1"/>
    <n v="3.7481259370314839"/>
    <n v="10.3448275862069"/>
    <n v="184"/>
  </r>
  <r>
    <x v="118"/>
    <x v="1"/>
    <n v="3.582502768549281"/>
    <n v="10"/>
    <n v="179"/>
  </r>
  <r>
    <x v="119"/>
    <x v="1"/>
    <n v="3.562255723059744"/>
    <n v="6.666666666666667"/>
    <n v="1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29805-F1B6-4417-853B-0A18D1A59D9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24" firstHeaderRow="0" firstDataRow="1" firstDataCol="1" rowPageCount="1" colPageCount="1"/>
  <pivotFields count="5">
    <pivotField axis="axisRow" showAll="0">
      <items count="121">
        <item x="8"/>
        <item x="108"/>
        <item x="94"/>
        <item x="60"/>
        <item x="72"/>
        <item x="115"/>
        <item x="14"/>
        <item x="54"/>
        <item x="9"/>
        <item x="12"/>
        <item x="41"/>
        <item x="118"/>
        <item x="101"/>
        <item x="62"/>
        <item x="55"/>
        <item x="63"/>
        <item x="40"/>
        <item x="16"/>
        <item x="113"/>
        <item x="61"/>
        <item x="76"/>
        <item x="53"/>
        <item x="22"/>
        <item x="88"/>
        <item x="68"/>
        <item x="47"/>
        <item x="51"/>
        <item x="111"/>
        <item x="42"/>
        <item x="73"/>
        <item x="33"/>
        <item x="29"/>
        <item x="13"/>
        <item x="89"/>
        <item x="86"/>
        <item x="7"/>
        <item x="77"/>
        <item x="74"/>
        <item x="20"/>
        <item x="92"/>
        <item x="25"/>
        <item x="93"/>
        <item x="57"/>
        <item x="49"/>
        <item x="5"/>
        <item x="114"/>
        <item x="75"/>
        <item x="87"/>
        <item x="50"/>
        <item x="102"/>
        <item x="105"/>
        <item x="10"/>
        <item x="28"/>
        <item x="82"/>
        <item x="39"/>
        <item x="6"/>
        <item x="80"/>
        <item x="21"/>
        <item x="107"/>
        <item x="96"/>
        <item x="116"/>
        <item x="104"/>
        <item x="26"/>
        <item x="119"/>
        <item x="30"/>
        <item x="48"/>
        <item x="83"/>
        <item x="27"/>
        <item x="1"/>
        <item x="84"/>
        <item x="65"/>
        <item x="24"/>
        <item x="78"/>
        <item x="4"/>
        <item x="99"/>
        <item x="34"/>
        <item x="45"/>
        <item x="32"/>
        <item x="85"/>
        <item x="52"/>
        <item x="117"/>
        <item x="71"/>
        <item x="23"/>
        <item x="112"/>
        <item x="95"/>
        <item x="58"/>
        <item x="2"/>
        <item x="46"/>
        <item x="106"/>
        <item x="70"/>
        <item x="56"/>
        <item x="103"/>
        <item x="69"/>
        <item x="59"/>
        <item x="81"/>
        <item x="38"/>
        <item x="15"/>
        <item x="98"/>
        <item x="90"/>
        <item x="17"/>
        <item x="79"/>
        <item x="31"/>
        <item x="66"/>
        <item x="0"/>
        <item x="109"/>
        <item x="67"/>
        <item x="97"/>
        <item x="91"/>
        <item x="36"/>
        <item x="100"/>
        <item x="19"/>
        <item x="110"/>
        <item x="43"/>
        <item x="64"/>
        <item x="37"/>
        <item x="44"/>
        <item x="3"/>
        <item x="18"/>
        <item x="35"/>
        <item x="11"/>
        <item t="default"/>
      </items>
    </pivotField>
    <pivotField axis="axisPage" showAll="0">
      <items count="5">
        <item x="0"/>
        <item x="3"/>
        <item x="1"/>
        <item x="2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1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 of avg_occupancy" fld="2" baseField="0" baseItem="0"/>
    <dataField name="Sum of total_sessions" fld="4" baseField="0" baseItem="0"/>
    <dataField name="Sum of max_occupancy" fld="3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workbookViewId="0">
      <pane ySplit="3" topLeftCell="A27" activePane="bottomLeft" state="frozen"/>
      <selection pane="bottomLeft" sqref="A1:H1"/>
    </sheetView>
  </sheetViews>
  <sheetFormatPr defaultRowHeight="14.4" x14ac:dyDescent="0.3"/>
  <cols>
    <col min="1" max="1" width="30.6640625" customWidth="1"/>
    <col min="2" max="2" width="22.6640625" customWidth="1"/>
    <col min="3" max="3" width="25.6640625" customWidth="1"/>
    <col min="4" max="4" width="3.6640625" customWidth="1"/>
    <col min="5" max="5" width="28.6640625" customWidth="1"/>
    <col min="6" max="8" width="14.6640625" customWidth="1"/>
  </cols>
  <sheetData>
    <row r="1" spans="1:8" ht="30" customHeight="1" x14ac:dyDescent="0.3">
      <c r="A1" s="11" t="s">
        <v>0</v>
      </c>
      <c r="B1" s="11"/>
      <c r="C1" s="11"/>
      <c r="D1" s="11"/>
      <c r="E1" s="11"/>
      <c r="F1" s="11"/>
      <c r="G1" s="11"/>
      <c r="H1" s="11"/>
    </row>
    <row r="2" spans="1:8" x14ac:dyDescent="0.3">
      <c r="A2" s="12" t="s">
        <v>1</v>
      </c>
      <c r="B2" s="12"/>
      <c r="C2" s="12"/>
      <c r="D2" s="12"/>
      <c r="E2" s="12"/>
      <c r="F2" s="12"/>
      <c r="G2" s="12"/>
      <c r="H2" s="12"/>
    </row>
    <row r="4" spans="1:8" x14ac:dyDescent="0.3">
      <c r="A4" s="1" t="s">
        <v>2</v>
      </c>
      <c r="B4" s="1" t="s">
        <v>3</v>
      </c>
      <c r="C4" s="1" t="s">
        <v>4</v>
      </c>
      <c r="E4" s="1" t="s">
        <v>5</v>
      </c>
      <c r="F4" s="1" t="s">
        <v>6</v>
      </c>
    </row>
    <row r="5" spans="1:8" x14ac:dyDescent="0.3">
      <c r="A5" s="2" t="s">
        <v>7</v>
      </c>
      <c r="B5" s="3" t="s">
        <v>8</v>
      </c>
      <c r="C5" s="3" t="s">
        <v>9</v>
      </c>
      <c r="E5" s="4" t="s">
        <v>30</v>
      </c>
      <c r="F5" s="5" t="s">
        <v>31</v>
      </c>
    </row>
    <row r="6" spans="1:8" x14ac:dyDescent="0.3">
      <c r="A6" s="2" t="s">
        <v>10</v>
      </c>
      <c r="B6" s="3" t="s">
        <v>11</v>
      </c>
      <c r="C6" s="3" t="s">
        <v>12</v>
      </c>
      <c r="E6" s="4" t="s">
        <v>32</v>
      </c>
      <c r="F6" s="5" t="s">
        <v>31</v>
      </c>
    </row>
    <row r="7" spans="1:8" x14ac:dyDescent="0.3">
      <c r="A7" s="2" t="s">
        <v>13</v>
      </c>
      <c r="B7" s="3" t="s">
        <v>14</v>
      </c>
      <c r="C7" s="3" t="s">
        <v>15</v>
      </c>
      <c r="E7" s="4" t="s">
        <v>33</v>
      </c>
      <c r="F7" s="5" t="s">
        <v>31</v>
      </c>
    </row>
    <row r="8" spans="1:8" x14ac:dyDescent="0.3">
      <c r="A8" s="2" t="s">
        <v>16</v>
      </c>
      <c r="B8" s="3" t="s">
        <v>17</v>
      </c>
      <c r="C8" s="3" t="s">
        <v>18</v>
      </c>
      <c r="E8" s="4" t="s">
        <v>34</v>
      </c>
      <c r="F8" s="5" t="s">
        <v>31</v>
      </c>
    </row>
    <row r="9" spans="1:8" x14ac:dyDescent="0.3">
      <c r="A9" s="2" t="s">
        <v>19</v>
      </c>
      <c r="B9" s="3" t="s">
        <v>20</v>
      </c>
      <c r="C9" s="3" t="s">
        <v>21</v>
      </c>
      <c r="E9" s="4" t="s">
        <v>35</v>
      </c>
      <c r="F9" s="5" t="s">
        <v>31</v>
      </c>
    </row>
    <row r="10" spans="1:8" x14ac:dyDescent="0.3">
      <c r="A10" s="2" t="s">
        <v>22</v>
      </c>
      <c r="B10" s="3" t="s">
        <v>23</v>
      </c>
      <c r="C10" s="3" t="s">
        <v>24</v>
      </c>
      <c r="E10" s="4" t="s">
        <v>36</v>
      </c>
      <c r="F10" s="5" t="s">
        <v>31</v>
      </c>
    </row>
    <row r="11" spans="1:8" x14ac:dyDescent="0.3">
      <c r="A11" s="2" t="s">
        <v>25</v>
      </c>
      <c r="B11" s="3" t="s">
        <v>26</v>
      </c>
      <c r="C11" s="3" t="s">
        <v>27</v>
      </c>
      <c r="E11" s="4" t="s">
        <v>37</v>
      </c>
      <c r="F11" s="5" t="s">
        <v>31</v>
      </c>
    </row>
    <row r="12" spans="1:8" x14ac:dyDescent="0.3">
      <c r="A12" s="2" t="s">
        <v>28</v>
      </c>
      <c r="B12" s="3" t="s">
        <v>29</v>
      </c>
      <c r="C12" s="3" t="s">
        <v>27</v>
      </c>
      <c r="E12" s="4" t="s">
        <v>38</v>
      </c>
      <c r="F12" s="5" t="s">
        <v>31</v>
      </c>
    </row>
    <row r="13" spans="1:8" x14ac:dyDescent="0.3">
      <c r="E13" s="4" t="s">
        <v>39</v>
      </c>
      <c r="F13" s="5" t="s">
        <v>31</v>
      </c>
    </row>
    <row r="14" spans="1:8" x14ac:dyDescent="0.3">
      <c r="E14" s="4" t="s">
        <v>40</v>
      </c>
      <c r="F14" s="5" t="s">
        <v>31</v>
      </c>
    </row>
    <row r="15" spans="1:8" x14ac:dyDescent="0.3">
      <c r="A15" s="9" t="s">
        <v>45</v>
      </c>
      <c r="B15" s="9"/>
      <c r="C15" s="9"/>
      <c r="E15" s="4" t="s">
        <v>41</v>
      </c>
      <c r="F15" s="5" t="s">
        <v>31</v>
      </c>
    </row>
    <row r="16" spans="1:8" x14ac:dyDescent="0.3">
      <c r="A16" s="10" t="s">
        <v>46</v>
      </c>
      <c r="B16" s="10"/>
      <c r="C16" s="10"/>
      <c r="E16" s="4" t="s">
        <v>42</v>
      </c>
      <c r="F16" s="5" t="s">
        <v>31</v>
      </c>
    </row>
    <row r="17" spans="1:8" x14ac:dyDescent="0.3">
      <c r="A17" s="10" t="s">
        <v>47</v>
      </c>
      <c r="B17" s="10"/>
      <c r="C17" s="10"/>
      <c r="E17" s="4" t="s">
        <v>43</v>
      </c>
      <c r="F17" s="5" t="s">
        <v>31</v>
      </c>
    </row>
    <row r="18" spans="1:8" x14ac:dyDescent="0.3">
      <c r="E18" s="4" t="s">
        <v>44</v>
      </c>
      <c r="F18" s="5" t="s">
        <v>31</v>
      </c>
    </row>
    <row r="20" spans="1:8" x14ac:dyDescent="0.3">
      <c r="E20" s="9" t="s">
        <v>48</v>
      </c>
      <c r="F20" s="9"/>
      <c r="G20" s="9"/>
      <c r="H20" s="9"/>
    </row>
    <row r="21" spans="1:8" x14ac:dyDescent="0.3">
      <c r="E21" s="10" t="s">
        <v>49</v>
      </c>
      <c r="F21" s="10"/>
      <c r="G21" s="10"/>
      <c r="H21" s="10"/>
    </row>
    <row r="22" spans="1:8" x14ac:dyDescent="0.3">
      <c r="E22" s="10" t="s">
        <v>50</v>
      </c>
      <c r="F22" s="10"/>
      <c r="G22" s="10"/>
      <c r="H22" s="10"/>
    </row>
  </sheetData>
  <mergeCells count="8">
    <mergeCell ref="E20:H20"/>
    <mergeCell ref="E21:H21"/>
    <mergeCell ref="E22:H22"/>
    <mergeCell ref="A1:H1"/>
    <mergeCell ref="A2:H2"/>
    <mergeCell ref="A15:C15"/>
    <mergeCell ref="A16:C16"/>
    <mergeCell ref="A17:C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A8B2-703F-4E82-BFC1-1B8183E0C5DA}">
  <dimension ref="A1"/>
  <sheetViews>
    <sheetView zoomScaleNormal="100"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8A04-565F-47D1-9707-4EB26870D4F6}">
  <dimension ref="A1:D124"/>
  <sheetViews>
    <sheetView zoomScale="66" workbookViewId="0">
      <selection activeCell="Q26" sqref="Q26"/>
    </sheetView>
  </sheetViews>
  <sheetFormatPr defaultRowHeight="14.4" x14ac:dyDescent="0.3"/>
  <cols>
    <col min="1" max="1" width="12.5546875" bestFit="1" customWidth="1"/>
    <col min="2" max="2" width="20.77734375" bestFit="1" customWidth="1"/>
    <col min="3" max="3" width="19.33203125" bestFit="1" customWidth="1"/>
    <col min="4" max="4" width="21.44140625" bestFit="1" customWidth="1"/>
  </cols>
  <sheetData>
    <row r="1" spans="1:4" x14ac:dyDescent="0.3">
      <c r="A1" s="7" t="s">
        <v>52</v>
      </c>
      <c r="B1" t="s">
        <v>235</v>
      </c>
    </row>
    <row r="3" spans="1:4" x14ac:dyDescent="0.3">
      <c r="A3" s="7" t="s">
        <v>237</v>
      </c>
      <c r="B3" t="s">
        <v>238</v>
      </c>
      <c r="C3" t="s">
        <v>240</v>
      </c>
      <c r="D3" t="s">
        <v>239</v>
      </c>
    </row>
    <row r="4" spans="1:4" x14ac:dyDescent="0.3">
      <c r="A4" s="8" t="s">
        <v>67</v>
      </c>
      <c r="B4">
        <v>16.36073423782921</v>
      </c>
      <c r="C4">
        <v>429</v>
      </c>
      <c r="D4">
        <v>42.857142857142847</v>
      </c>
    </row>
    <row r="5" spans="1:4" x14ac:dyDescent="0.3">
      <c r="A5" s="8" t="s">
        <v>167</v>
      </c>
      <c r="B5">
        <v>4.3354037267080754</v>
      </c>
      <c r="C5">
        <v>198</v>
      </c>
      <c r="D5">
        <v>12</v>
      </c>
    </row>
    <row r="6" spans="1:4" x14ac:dyDescent="0.3">
      <c r="A6" s="8" t="s">
        <v>153</v>
      </c>
      <c r="B6">
        <v>4.9401197604790434</v>
      </c>
      <c r="C6">
        <v>192</v>
      </c>
      <c r="D6">
        <v>9.0909090909090917</v>
      </c>
    </row>
    <row r="7" spans="1:4" x14ac:dyDescent="0.3">
      <c r="A7" s="8" t="s">
        <v>119</v>
      </c>
      <c r="B7">
        <v>7.2062591508052707</v>
      </c>
      <c r="C7">
        <v>441</v>
      </c>
      <c r="D7">
        <v>25</v>
      </c>
    </row>
    <row r="8" spans="1:4" x14ac:dyDescent="0.3">
      <c r="A8" s="8" t="s">
        <v>131</v>
      </c>
      <c r="B8">
        <v>6.635662431941924</v>
      </c>
      <c r="C8">
        <v>165</v>
      </c>
      <c r="D8">
        <v>12.5</v>
      </c>
    </row>
    <row r="9" spans="1:4" x14ac:dyDescent="0.3">
      <c r="A9" s="8" t="s">
        <v>174</v>
      </c>
      <c r="B9">
        <v>3.890641430073607</v>
      </c>
      <c r="C9">
        <v>180</v>
      </c>
      <c r="D9">
        <v>7.4074074074074074</v>
      </c>
    </row>
    <row r="10" spans="1:4" x14ac:dyDescent="0.3">
      <c r="A10" s="8" t="s">
        <v>73</v>
      </c>
      <c r="B10">
        <v>14.78260869565217</v>
      </c>
      <c r="C10">
        <v>130</v>
      </c>
      <c r="D10">
        <v>42.857142857142847</v>
      </c>
    </row>
    <row r="11" spans="1:4" x14ac:dyDescent="0.3">
      <c r="A11" s="8" t="s">
        <v>113</v>
      </c>
      <c r="B11">
        <v>7.4350604250590351</v>
      </c>
      <c r="C11">
        <v>1808</v>
      </c>
      <c r="D11">
        <v>34.782608695652172</v>
      </c>
    </row>
    <row r="12" spans="1:4" x14ac:dyDescent="0.3">
      <c r="A12" s="8" t="s">
        <v>68</v>
      </c>
      <c r="B12">
        <v>16.311592138991742</v>
      </c>
      <c r="C12">
        <v>1594</v>
      </c>
      <c r="D12">
        <v>60</v>
      </c>
    </row>
    <row r="13" spans="1:4" x14ac:dyDescent="0.3">
      <c r="A13" s="8" t="s">
        <v>71</v>
      </c>
      <c r="B13">
        <v>15.12605042016807</v>
      </c>
      <c r="C13">
        <v>142</v>
      </c>
      <c r="D13">
        <v>28.571428571428569</v>
      </c>
    </row>
    <row r="14" spans="1:4" x14ac:dyDescent="0.3">
      <c r="A14" s="8" t="s">
        <v>100</v>
      </c>
      <c r="B14">
        <v>9.1485172880521723</v>
      </c>
      <c r="C14">
        <v>1663</v>
      </c>
      <c r="D14">
        <v>33.333333333333329</v>
      </c>
    </row>
    <row r="15" spans="1:4" x14ac:dyDescent="0.3">
      <c r="A15" s="8" t="s">
        <v>177</v>
      </c>
      <c r="B15">
        <v>3.582502768549281</v>
      </c>
      <c r="C15">
        <v>179</v>
      </c>
      <c r="D15">
        <v>10</v>
      </c>
    </row>
    <row r="16" spans="1:4" x14ac:dyDescent="0.3">
      <c r="A16" s="8" t="s">
        <v>160</v>
      </c>
      <c r="B16">
        <v>4.548974061169182</v>
      </c>
      <c r="C16">
        <v>253</v>
      </c>
      <c r="D16">
        <v>12.5</v>
      </c>
    </row>
    <row r="17" spans="1:4" x14ac:dyDescent="0.3">
      <c r="A17" s="8" t="s">
        <v>121</v>
      </c>
      <c r="B17">
        <v>7.0896180647437594</v>
      </c>
      <c r="C17">
        <v>1819</v>
      </c>
      <c r="D17">
        <v>29.166666666666671</v>
      </c>
    </row>
    <row r="18" spans="1:4" x14ac:dyDescent="0.3">
      <c r="A18" s="8" t="s">
        <v>114</v>
      </c>
      <c r="B18">
        <v>7.425114182335844</v>
      </c>
      <c r="C18">
        <v>1771</v>
      </c>
      <c r="D18">
        <v>34.782608695652172</v>
      </c>
    </row>
    <row r="19" spans="1:4" x14ac:dyDescent="0.3">
      <c r="A19" s="8" t="s">
        <v>122</v>
      </c>
      <c r="B19">
        <v>6.8977594643317026</v>
      </c>
      <c r="C19">
        <v>1858</v>
      </c>
      <c r="D19">
        <v>32</v>
      </c>
    </row>
    <row r="20" spans="1:4" x14ac:dyDescent="0.3">
      <c r="A20" s="8" t="s">
        <v>99</v>
      </c>
      <c r="B20">
        <v>9.3364641236981658</v>
      </c>
      <c r="C20">
        <v>1642</v>
      </c>
      <c r="D20">
        <v>44.444444444444443</v>
      </c>
    </row>
    <row r="21" spans="1:4" x14ac:dyDescent="0.3">
      <c r="A21" s="8" t="s">
        <v>75</v>
      </c>
      <c r="B21">
        <v>14.337952270977681</v>
      </c>
      <c r="C21">
        <v>438</v>
      </c>
      <c r="D21">
        <v>50</v>
      </c>
    </row>
    <row r="22" spans="1:4" x14ac:dyDescent="0.3">
      <c r="A22" s="8" t="s">
        <v>172</v>
      </c>
      <c r="B22">
        <v>3.9872971065631622</v>
      </c>
      <c r="C22">
        <v>164</v>
      </c>
      <c r="D22">
        <v>7.6923076923076934</v>
      </c>
    </row>
    <row r="23" spans="1:4" x14ac:dyDescent="0.3">
      <c r="A23" s="8" t="s">
        <v>120</v>
      </c>
      <c r="B23">
        <v>7.183676754668384</v>
      </c>
      <c r="C23">
        <v>504</v>
      </c>
      <c r="D23">
        <v>37.5</v>
      </c>
    </row>
    <row r="24" spans="1:4" x14ac:dyDescent="0.3">
      <c r="A24" s="8" t="s">
        <v>135</v>
      </c>
      <c r="B24">
        <v>6.5207925103418241</v>
      </c>
      <c r="C24">
        <v>499</v>
      </c>
      <c r="D24">
        <v>22.222222222222221</v>
      </c>
    </row>
    <row r="25" spans="1:4" x14ac:dyDescent="0.3">
      <c r="A25" s="8" t="s">
        <v>112</v>
      </c>
      <c r="B25">
        <v>7.5416373445930089</v>
      </c>
      <c r="C25">
        <v>172</v>
      </c>
      <c r="D25">
        <v>14.285714285714279</v>
      </c>
    </row>
    <row r="26" spans="1:4" x14ac:dyDescent="0.3">
      <c r="A26" s="8" t="s">
        <v>81</v>
      </c>
      <c r="B26">
        <v>12.727433315668611</v>
      </c>
      <c r="C26">
        <v>399</v>
      </c>
      <c r="D26">
        <v>44.444444444444443</v>
      </c>
    </row>
    <row r="27" spans="1:4" x14ac:dyDescent="0.3">
      <c r="A27" s="8" t="s">
        <v>147</v>
      </c>
      <c r="B27">
        <v>5.8889678562753573</v>
      </c>
      <c r="C27">
        <v>1848</v>
      </c>
      <c r="D27">
        <v>24.137931034482762</v>
      </c>
    </row>
    <row r="28" spans="1:4" x14ac:dyDescent="0.3">
      <c r="A28" s="8" t="s">
        <v>127</v>
      </c>
      <c r="B28">
        <v>6.6560424966799472</v>
      </c>
      <c r="C28">
        <v>1769</v>
      </c>
      <c r="D28">
        <v>28</v>
      </c>
    </row>
    <row r="29" spans="1:4" x14ac:dyDescent="0.3">
      <c r="A29" s="8" t="s">
        <v>106</v>
      </c>
      <c r="B29">
        <v>7.9949743742847188</v>
      </c>
      <c r="C29">
        <v>1807</v>
      </c>
      <c r="D29">
        <v>38.095238095238088</v>
      </c>
    </row>
    <row r="30" spans="1:4" x14ac:dyDescent="0.3">
      <c r="A30" s="8" t="s">
        <v>110</v>
      </c>
      <c r="B30">
        <v>7.8018018018018029</v>
      </c>
      <c r="C30">
        <v>498</v>
      </c>
      <c r="D30">
        <v>26.666666666666671</v>
      </c>
    </row>
    <row r="31" spans="1:4" x14ac:dyDescent="0.3">
      <c r="A31" s="8" t="s">
        <v>170</v>
      </c>
      <c r="B31">
        <v>4.0462427745664744</v>
      </c>
      <c r="C31">
        <v>152</v>
      </c>
      <c r="D31">
        <v>11.53846153846154</v>
      </c>
    </row>
    <row r="32" spans="1:4" x14ac:dyDescent="0.3">
      <c r="A32" s="8" t="s">
        <v>101</v>
      </c>
      <c r="B32">
        <v>8.9146514935988606</v>
      </c>
      <c r="C32">
        <v>1757</v>
      </c>
      <c r="D32">
        <v>36.84210526315789</v>
      </c>
    </row>
    <row r="33" spans="1:4" x14ac:dyDescent="0.3">
      <c r="A33" s="8" t="s">
        <v>132</v>
      </c>
      <c r="B33">
        <v>6.6144939965694682</v>
      </c>
      <c r="C33">
        <v>172</v>
      </c>
      <c r="D33">
        <v>12.5</v>
      </c>
    </row>
    <row r="34" spans="1:4" x14ac:dyDescent="0.3">
      <c r="A34" s="8" t="s">
        <v>92</v>
      </c>
      <c r="B34">
        <v>10.46188370846731</v>
      </c>
      <c r="C34">
        <v>1743</v>
      </c>
      <c r="D34">
        <v>62.5</v>
      </c>
    </row>
    <row r="35" spans="1:4" x14ac:dyDescent="0.3">
      <c r="A35" s="8" t="s">
        <v>88</v>
      </c>
      <c r="B35">
        <v>11.58959537572254</v>
      </c>
      <c r="C35">
        <v>446</v>
      </c>
      <c r="D35">
        <v>40</v>
      </c>
    </row>
    <row r="36" spans="1:4" x14ac:dyDescent="0.3">
      <c r="A36" s="8" t="s">
        <v>72</v>
      </c>
      <c r="B36">
        <v>14.81597005614473</v>
      </c>
      <c r="C36">
        <v>139</v>
      </c>
      <c r="D36">
        <v>42.857142857142847</v>
      </c>
    </row>
    <row r="37" spans="1:4" x14ac:dyDescent="0.3">
      <c r="A37" s="8" t="s">
        <v>148</v>
      </c>
      <c r="B37">
        <v>5.7154605263157894</v>
      </c>
      <c r="C37">
        <v>179</v>
      </c>
      <c r="D37">
        <v>15.789473684210529</v>
      </c>
    </row>
    <row r="38" spans="1:4" x14ac:dyDescent="0.3">
      <c r="A38" s="8" t="s">
        <v>145</v>
      </c>
      <c r="B38">
        <v>6.0862596263679567</v>
      </c>
      <c r="C38">
        <v>1849</v>
      </c>
      <c r="D38">
        <v>25</v>
      </c>
    </row>
    <row r="39" spans="1:4" x14ac:dyDescent="0.3">
      <c r="A39" s="8" t="s">
        <v>66</v>
      </c>
      <c r="B39">
        <v>17.2562893081761</v>
      </c>
      <c r="C39">
        <v>119</v>
      </c>
      <c r="D39">
        <v>50</v>
      </c>
    </row>
    <row r="40" spans="1:4" x14ac:dyDescent="0.3">
      <c r="A40" s="8" t="s">
        <v>136</v>
      </c>
      <c r="B40">
        <v>6.3995564663835172</v>
      </c>
      <c r="C40">
        <v>1799</v>
      </c>
      <c r="D40">
        <v>29.62962962962963</v>
      </c>
    </row>
    <row r="41" spans="1:4" x14ac:dyDescent="0.3">
      <c r="A41" s="8" t="s">
        <v>133</v>
      </c>
      <c r="B41">
        <v>6.5779636701622506</v>
      </c>
      <c r="C41">
        <v>1815</v>
      </c>
      <c r="D41">
        <v>26.92307692307692</v>
      </c>
    </row>
    <row r="42" spans="1:4" x14ac:dyDescent="0.3">
      <c r="A42" s="8" t="s">
        <v>79</v>
      </c>
      <c r="B42">
        <v>13.374952705259171</v>
      </c>
      <c r="C42">
        <v>1563</v>
      </c>
      <c r="D42">
        <v>50</v>
      </c>
    </row>
    <row r="43" spans="1:4" x14ac:dyDescent="0.3">
      <c r="A43" s="8" t="s">
        <v>151</v>
      </c>
      <c r="B43">
        <v>5.1822293163075281</v>
      </c>
      <c r="C43">
        <v>272</v>
      </c>
      <c r="D43">
        <v>19.047619047619051</v>
      </c>
    </row>
    <row r="44" spans="1:4" x14ac:dyDescent="0.3">
      <c r="A44" s="8" t="s">
        <v>84</v>
      </c>
      <c r="B44">
        <v>12.14294702403423</v>
      </c>
      <c r="C44">
        <v>277</v>
      </c>
      <c r="D44">
        <v>44.444444444444443</v>
      </c>
    </row>
    <row r="45" spans="1:4" x14ac:dyDescent="0.3">
      <c r="A45" s="8" t="s">
        <v>152</v>
      </c>
      <c r="B45">
        <v>5.0418814432989683</v>
      </c>
      <c r="C45">
        <v>508</v>
      </c>
      <c r="D45">
        <v>16.666666666666661</v>
      </c>
    </row>
    <row r="46" spans="1:4" x14ac:dyDescent="0.3">
      <c r="A46" s="8" t="s">
        <v>116</v>
      </c>
      <c r="B46">
        <v>7.3598880939277196</v>
      </c>
      <c r="C46">
        <v>1794</v>
      </c>
      <c r="D46">
        <v>30.434782608695659</v>
      </c>
    </row>
    <row r="47" spans="1:4" x14ac:dyDescent="0.3">
      <c r="A47" s="8" t="s">
        <v>108</v>
      </c>
      <c r="B47">
        <v>7.8343548640578344</v>
      </c>
      <c r="C47">
        <v>273</v>
      </c>
      <c r="D47">
        <v>21.428571428571431</v>
      </c>
    </row>
    <row r="48" spans="1:4" x14ac:dyDescent="0.3">
      <c r="A48" s="8" t="s">
        <v>62</v>
      </c>
      <c r="B48">
        <v>19.34835076427996</v>
      </c>
      <c r="C48">
        <v>408</v>
      </c>
      <c r="D48">
        <v>66.666666666666657</v>
      </c>
    </row>
    <row r="49" spans="1:4" x14ac:dyDescent="0.3">
      <c r="A49" s="8" t="s">
        <v>173</v>
      </c>
      <c r="B49">
        <v>3.9456248572081338</v>
      </c>
      <c r="C49">
        <v>469</v>
      </c>
      <c r="D49">
        <v>13.33333333333333</v>
      </c>
    </row>
    <row r="50" spans="1:4" x14ac:dyDescent="0.3">
      <c r="A50" s="8" t="s">
        <v>134</v>
      </c>
      <c r="B50">
        <v>6.5711991434689514</v>
      </c>
      <c r="C50">
        <v>136</v>
      </c>
      <c r="D50">
        <v>12.5</v>
      </c>
    </row>
    <row r="51" spans="1:4" x14ac:dyDescent="0.3">
      <c r="A51" s="8" t="s">
        <v>146</v>
      </c>
      <c r="B51">
        <v>5.9588159588159586</v>
      </c>
      <c r="C51">
        <v>1818</v>
      </c>
      <c r="D51">
        <v>28.571428571428569</v>
      </c>
    </row>
    <row r="52" spans="1:4" x14ac:dyDescent="0.3">
      <c r="A52" s="8" t="s">
        <v>109</v>
      </c>
      <c r="B52">
        <v>7.8111779637115726</v>
      </c>
      <c r="C52">
        <v>1846</v>
      </c>
      <c r="D52">
        <v>31.81818181818182</v>
      </c>
    </row>
    <row r="53" spans="1:4" x14ac:dyDescent="0.3">
      <c r="A53" s="8" t="s">
        <v>161</v>
      </c>
      <c r="B53">
        <v>4.4490216271884657</v>
      </c>
      <c r="C53">
        <v>303</v>
      </c>
      <c r="D53">
        <v>12</v>
      </c>
    </row>
    <row r="54" spans="1:4" x14ac:dyDescent="0.3">
      <c r="A54" s="8" t="s">
        <v>164</v>
      </c>
      <c r="B54">
        <v>4.3720657276995301</v>
      </c>
      <c r="C54">
        <v>169</v>
      </c>
      <c r="D54">
        <v>12.5</v>
      </c>
    </row>
    <row r="55" spans="1:4" x14ac:dyDescent="0.3">
      <c r="A55" s="8" t="s">
        <v>69</v>
      </c>
      <c r="B55">
        <v>16.2602778565353</v>
      </c>
      <c r="C55">
        <v>1585</v>
      </c>
      <c r="D55">
        <v>70</v>
      </c>
    </row>
    <row r="56" spans="1:4" x14ac:dyDescent="0.3">
      <c r="A56" s="8" t="s">
        <v>87</v>
      </c>
      <c r="B56">
        <v>11.64299560865609</v>
      </c>
      <c r="C56">
        <v>1649</v>
      </c>
      <c r="D56">
        <v>50</v>
      </c>
    </row>
    <row r="57" spans="1:4" x14ac:dyDescent="0.3">
      <c r="A57" s="8" t="s">
        <v>141</v>
      </c>
      <c r="B57">
        <v>6.1860888933886802</v>
      </c>
      <c r="C57">
        <v>174</v>
      </c>
      <c r="D57">
        <v>11.76470588235294</v>
      </c>
    </row>
    <row r="58" spans="1:4" x14ac:dyDescent="0.3">
      <c r="A58" s="8" t="s">
        <v>98</v>
      </c>
      <c r="B58">
        <v>9.4159966144731264</v>
      </c>
      <c r="C58">
        <v>1630</v>
      </c>
      <c r="D58">
        <v>35.294117647058833</v>
      </c>
    </row>
    <row r="59" spans="1:4" x14ac:dyDescent="0.3">
      <c r="A59" s="8" t="s">
        <v>64</v>
      </c>
      <c r="B59">
        <v>18.370986920332939</v>
      </c>
      <c r="C59">
        <v>263</v>
      </c>
      <c r="D59">
        <v>50</v>
      </c>
    </row>
    <row r="60" spans="1:4" x14ac:dyDescent="0.3">
      <c r="A60" s="8" t="s">
        <v>139</v>
      </c>
      <c r="B60">
        <v>6.2548232751967889</v>
      </c>
      <c r="C60">
        <v>450</v>
      </c>
      <c r="D60">
        <v>26.315789473684209</v>
      </c>
    </row>
    <row r="61" spans="1:4" x14ac:dyDescent="0.3">
      <c r="A61" s="8" t="s">
        <v>80</v>
      </c>
      <c r="B61">
        <v>13.05035372451103</v>
      </c>
      <c r="C61">
        <v>438</v>
      </c>
      <c r="D61">
        <v>44.444444444444443</v>
      </c>
    </row>
    <row r="62" spans="1:4" x14ac:dyDescent="0.3">
      <c r="A62" s="8" t="s">
        <v>166</v>
      </c>
      <c r="B62">
        <v>4.3540945790080734</v>
      </c>
      <c r="C62">
        <v>176</v>
      </c>
      <c r="D62">
        <v>12.5</v>
      </c>
    </row>
    <row r="63" spans="1:4" x14ac:dyDescent="0.3">
      <c r="A63" s="8" t="s">
        <v>155</v>
      </c>
      <c r="B63">
        <v>4.853869878102512</v>
      </c>
      <c r="C63">
        <v>183</v>
      </c>
      <c r="D63">
        <v>13.63636363636363</v>
      </c>
    </row>
    <row r="64" spans="1:4" x14ac:dyDescent="0.3">
      <c r="A64" s="8" t="s">
        <v>175</v>
      </c>
      <c r="B64">
        <v>3.8087520259319292</v>
      </c>
      <c r="C64">
        <v>189</v>
      </c>
      <c r="D64">
        <v>10.71428571428571</v>
      </c>
    </row>
    <row r="65" spans="1:4" x14ac:dyDescent="0.3">
      <c r="A65" s="8" t="s">
        <v>163</v>
      </c>
      <c r="B65">
        <v>4.4244704570791527</v>
      </c>
      <c r="C65">
        <v>180</v>
      </c>
      <c r="D65">
        <v>8.3333333333333321</v>
      </c>
    </row>
    <row r="66" spans="1:4" x14ac:dyDescent="0.3">
      <c r="A66" s="8" t="s">
        <v>85</v>
      </c>
      <c r="B66">
        <v>11.99391933497537</v>
      </c>
      <c r="C66">
        <v>1713</v>
      </c>
      <c r="D66">
        <v>57.142857142857139</v>
      </c>
    </row>
    <row r="67" spans="1:4" x14ac:dyDescent="0.3">
      <c r="A67" s="8" t="s">
        <v>11</v>
      </c>
      <c r="B67">
        <v>3.562255723059744</v>
      </c>
      <c r="C67">
        <v>177</v>
      </c>
      <c r="D67">
        <v>6.666666666666667</v>
      </c>
    </row>
    <row r="68" spans="1:4" x14ac:dyDescent="0.3">
      <c r="A68" s="8" t="s">
        <v>89</v>
      </c>
      <c r="B68">
        <v>11.18059299191375</v>
      </c>
      <c r="C68">
        <v>1747</v>
      </c>
      <c r="D68">
        <v>40</v>
      </c>
    </row>
    <row r="69" spans="1:4" x14ac:dyDescent="0.3">
      <c r="A69" s="8" t="s">
        <v>107</v>
      </c>
      <c r="B69">
        <v>7.963465106322249</v>
      </c>
      <c r="C69">
        <v>150</v>
      </c>
      <c r="D69">
        <v>23.07692307692308</v>
      </c>
    </row>
    <row r="70" spans="1:4" x14ac:dyDescent="0.3">
      <c r="A70" s="8" t="s">
        <v>142</v>
      </c>
      <c r="B70">
        <v>6.1633436985549661</v>
      </c>
      <c r="C70">
        <v>1868</v>
      </c>
      <c r="D70">
        <v>25</v>
      </c>
    </row>
    <row r="71" spans="1:4" x14ac:dyDescent="0.3">
      <c r="A71" s="8" t="s">
        <v>86</v>
      </c>
      <c r="B71">
        <v>11.662000605326879</v>
      </c>
      <c r="C71">
        <v>1715</v>
      </c>
      <c r="D71">
        <v>64.285714285714292</v>
      </c>
    </row>
    <row r="72" spans="1:4" x14ac:dyDescent="0.3">
      <c r="A72" s="8" t="s">
        <v>57</v>
      </c>
      <c r="B72">
        <v>25.264750378214821</v>
      </c>
      <c r="C72">
        <v>1388</v>
      </c>
      <c r="D72">
        <v>100</v>
      </c>
    </row>
    <row r="73" spans="1:4" x14ac:dyDescent="0.3">
      <c r="A73" s="8" t="s">
        <v>143</v>
      </c>
      <c r="B73">
        <v>6.1546840958605662</v>
      </c>
      <c r="C73">
        <v>184</v>
      </c>
      <c r="D73">
        <v>11.76470588235294</v>
      </c>
    </row>
    <row r="74" spans="1:4" x14ac:dyDescent="0.3">
      <c r="A74" s="8" t="s">
        <v>124</v>
      </c>
      <c r="B74">
        <v>6.8489054991991454</v>
      </c>
      <c r="C74">
        <v>1814</v>
      </c>
      <c r="D74">
        <v>24</v>
      </c>
    </row>
    <row r="75" spans="1:4" x14ac:dyDescent="0.3">
      <c r="A75" s="8" t="s">
        <v>83</v>
      </c>
      <c r="B75">
        <v>12.204671256919131</v>
      </c>
      <c r="C75">
        <v>258</v>
      </c>
      <c r="D75">
        <v>33.333333333333329</v>
      </c>
    </row>
    <row r="76" spans="1:4" x14ac:dyDescent="0.3">
      <c r="A76" s="8" t="s">
        <v>137</v>
      </c>
      <c r="B76">
        <v>6.3806918116083642</v>
      </c>
      <c r="C76">
        <v>184</v>
      </c>
      <c r="D76">
        <v>17.647058823529409</v>
      </c>
    </row>
    <row r="77" spans="1:4" x14ac:dyDescent="0.3">
      <c r="A77" s="8" t="s">
        <v>61</v>
      </c>
      <c r="B77">
        <v>19.75386779184247</v>
      </c>
      <c r="C77">
        <v>1577</v>
      </c>
      <c r="D77">
        <v>75</v>
      </c>
    </row>
    <row r="78" spans="1:4" x14ac:dyDescent="0.3">
      <c r="A78" s="8" t="s">
        <v>158</v>
      </c>
      <c r="B78">
        <v>4.7012599918710212</v>
      </c>
      <c r="C78">
        <v>187</v>
      </c>
      <c r="D78">
        <v>9.0909090909090917</v>
      </c>
    </row>
    <row r="79" spans="1:4" x14ac:dyDescent="0.3">
      <c r="A79" s="8" t="s">
        <v>93</v>
      </c>
      <c r="B79">
        <v>9.8298236071178806</v>
      </c>
      <c r="C79">
        <v>1795</v>
      </c>
      <c r="D79">
        <v>47.058823529411761</v>
      </c>
    </row>
    <row r="80" spans="1:4" x14ac:dyDescent="0.3">
      <c r="A80" s="8" t="s">
        <v>104</v>
      </c>
      <c r="B80">
        <v>8.3030893157475436</v>
      </c>
      <c r="C80">
        <v>258</v>
      </c>
      <c r="D80">
        <v>23.07692307692308</v>
      </c>
    </row>
    <row r="81" spans="1:4" x14ac:dyDescent="0.3">
      <c r="A81" s="8" t="s">
        <v>91</v>
      </c>
      <c r="B81">
        <v>10.67924528301887</v>
      </c>
      <c r="C81">
        <v>158</v>
      </c>
      <c r="D81">
        <v>30</v>
      </c>
    </row>
    <row r="82" spans="1:4" x14ac:dyDescent="0.3">
      <c r="A82" s="8" t="s">
        <v>144</v>
      </c>
      <c r="B82">
        <v>6.1348798190903464</v>
      </c>
      <c r="C82">
        <v>465</v>
      </c>
      <c r="D82">
        <v>21.05263157894737</v>
      </c>
    </row>
    <row r="83" spans="1:4" x14ac:dyDescent="0.3">
      <c r="A83" s="8" t="s">
        <v>111</v>
      </c>
      <c r="B83">
        <v>7.7638125163655411</v>
      </c>
      <c r="C83">
        <v>1821</v>
      </c>
      <c r="D83">
        <v>36.363636363636367</v>
      </c>
    </row>
    <row r="84" spans="1:4" x14ac:dyDescent="0.3">
      <c r="A84" s="8" t="s">
        <v>176</v>
      </c>
      <c r="B84">
        <v>3.7481259370314839</v>
      </c>
      <c r="C84">
        <v>184</v>
      </c>
      <c r="D84">
        <v>10.3448275862069</v>
      </c>
    </row>
    <row r="85" spans="1:4" x14ac:dyDescent="0.3">
      <c r="A85" s="8" t="s">
        <v>130</v>
      </c>
      <c r="B85">
        <v>6.637596899224806</v>
      </c>
      <c r="C85">
        <v>160</v>
      </c>
      <c r="D85">
        <v>12.5</v>
      </c>
    </row>
    <row r="86" spans="1:4" x14ac:dyDescent="0.3">
      <c r="A86" s="8" t="s">
        <v>82</v>
      </c>
      <c r="B86">
        <v>12.37373737373737</v>
      </c>
      <c r="C86">
        <v>272</v>
      </c>
      <c r="D86">
        <v>33.333333333333329</v>
      </c>
    </row>
    <row r="87" spans="1:4" x14ac:dyDescent="0.3">
      <c r="A87" s="8" t="s">
        <v>171</v>
      </c>
      <c r="B87">
        <v>4</v>
      </c>
      <c r="C87">
        <v>163</v>
      </c>
      <c r="D87">
        <v>7.6923076923076934</v>
      </c>
    </row>
    <row r="88" spans="1:4" x14ac:dyDescent="0.3">
      <c r="A88" s="8" t="s">
        <v>154</v>
      </c>
      <c r="B88">
        <v>4.9292827851703072</v>
      </c>
      <c r="C88">
        <v>160</v>
      </c>
      <c r="D88">
        <v>9.5238095238095237</v>
      </c>
    </row>
    <row r="89" spans="1:4" x14ac:dyDescent="0.3">
      <c r="A89" s="8" t="s">
        <v>117</v>
      </c>
      <c r="B89">
        <v>7.3486014512041287</v>
      </c>
      <c r="C89">
        <v>1783</v>
      </c>
      <c r="D89">
        <v>34.782608695652172</v>
      </c>
    </row>
    <row r="90" spans="1:4" x14ac:dyDescent="0.3">
      <c r="A90" s="8" t="s">
        <v>58</v>
      </c>
      <c r="B90">
        <v>22.662984350154819</v>
      </c>
      <c r="C90">
        <v>1518</v>
      </c>
      <c r="D90">
        <v>100</v>
      </c>
    </row>
    <row r="91" spans="1:4" x14ac:dyDescent="0.3">
      <c r="A91" s="8" t="s">
        <v>105</v>
      </c>
      <c r="B91">
        <v>8.0497569345152975</v>
      </c>
      <c r="C91">
        <v>161</v>
      </c>
      <c r="D91">
        <v>23.07692307692308</v>
      </c>
    </row>
    <row r="92" spans="1:4" x14ac:dyDescent="0.3">
      <c r="A92" s="8" t="s">
        <v>165</v>
      </c>
      <c r="B92">
        <v>4.3626707132018199</v>
      </c>
      <c r="C92">
        <v>182</v>
      </c>
      <c r="D92">
        <v>8.3333333333333321</v>
      </c>
    </row>
    <row r="93" spans="1:4" x14ac:dyDescent="0.3">
      <c r="A93" s="8" t="s">
        <v>129</v>
      </c>
      <c r="B93">
        <v>6.6411342894393748</v>
      </c>
      <c r="C93">
        <v>1847</v>
      </c>
      <c r="D93">
        <v>30.76923076923077</v>
      </c>
    </row>
    <row r="94" spans="1:4" x14ac:dyDescent="0.3">
      <c r="A94" s="8" t="s">
        <v>115</v>
      </c>
      <c r="B94">
        <v>7.400497512437811</v>
      </c>
      <c r="C94">
        <v>467</v>
      </c>
      <c r="D94">
        <v>25</v>
      </c>
    </row>
    <row r="95" spans="1:4" x14ac:dyDescent="0.3">
      <c r="A95" s="8" t="s">
        <v>162</v>
      </c>
      <c r="B95">
        <v>4.4382470119521908</v>
      </c>
      <c r="C95">
        <v>301</v>
      </c>
      <c r="D95">
        <v>16</v>
      </c>
    </row>
    <row r="96" spans="1:4" x14ac:dyDescent="0.3">
      <c r="A96" s="8" t="s">
        <v>128</v>
      </c>
      <c r="B96">
        <v>6.6457420826352864</v>
      </c>
      <c r="C96">
        <v>1814</v>
      </c>
      <c r="D96">
        <v>26.92307692307692</v>
      </c>
    </row>
    <row r="97" spans="1:4" x14ac:dyDescent="0.3">
      <c r="A97" s="8" t="s">
        <v>118</v>
      </c>
      <c r="B97">
        <v>7.218683651804672</v>
      </c>
      <c r="C97">
        <v>181</v>
      </c>
      <c r="D97">
        <v>20</v>
      </c>
    </row>
    <row r="98" spans="1:4" x14ac:dyDescent="0.3">
      <c r="A98" s="8" t="s">
        <v>140</v>
      </c>
      <c r="B98">
        <v>6.2333919682622847</v>
      </c>
      <c r="C98">
        <v>1879</v>
      </c>
      <c r="D98">
        <v>28.571428571428569</v>
      </c>
    </row>
    <row r="99" spans="1:4" x14ac:dyDescent="0.3">
      <c r="A99" s="8" t="s">
        <v>97</v>
      </c>
      <c r="B99">
        <v>9.5300423834455223</v>
      </c>
      <c r="C99">
        <v>442</v>
      </c>
      <c r="D99">
        <v>25</v>
      </c>
    </row>
    <row r="100" spans="1:4" x14ac:dyDescent="0.3">
      <c r="A100" s="8" t="s">
        <v>74</v>
      </c>
      <c r="B100">
        <v>14.720634841414419</v>
      </c>
      <c r="C100">
        <v>1658</v>
      </c>
      <c r="D100">
        <v>72.727272727272734</v>
      </c>
    </row>
    <row r="101" spans="1:4" x14ac:dyDescent="0.3">
      <c r="A101" s="8" t="s">
        <v>157</v>
      </c>
      <c r="B101">
        <v>4.7391725473917257</v>
      </c>
      <c r="C101">
        <v>187</v>
      </c>
      <c r="D101">
        <v>9.0909090909090917</v>
      </c>
    </row>
    <row r="102" spans="1:4" x14ac:dyDescent="0.3">
      <c r="A102" s="8" t="s">
        <v>149</v>
      </c>
      <c r="B102">
        <v>5.5828077551973836</v>
      </c>
      <c r="C102">
        <v>464</v>
      </c>
      <c r="D102">
        <v>19.047619047619051</v>
      </c>
    </row>
    <row r="103" spans="1:4" x14ac:dyDescent="0.3">
      <c r="A103" s="8" t="s">
        <v>76</v>
      </c>
      <c r="B103">
        <v>14.26005747126437</v>
      </c>
      <c r="C103">
        <v>453</v>
      </c>
      <c r="D103">
        <v>37.5</v>
      </c>
    </row>
    <row r="104" spans="1:4" x14ac:dyDescent="0.3">
      <c r="A104" s="8" t="s">
        <v>138</v>
      </c>
      <c r="B104">
        <v>6.3702241130132107</v>
      </c>
      <c r="C104">
        <v>1752</v>
      </c>
      <c r="D104">
        <v>26.92307692307692</v>
      </c>
    </row>
    <row r="105" spans="1:4" x14ac:dyDescent="0.3">
      <c r="A105" s="8" t="s">
        <v>90</v>
      </c>
      <c r="B105">
        <v>11.061946902654871</v>
      </c>
      <c r="C105">
        <v>254</v>
      </c>
      <c r="D105">
        <v>30</v>
      </c>
    </row>
    <row r="106" spans="1:4" x14ac:dyDescent="0.3">
      <c r="A106" s="8" t="s">
        <v>125</v>
      </c>
      <c r="B106">
        <v>6.7927083333333336</v>
      </c>
      <c r="C106">
        <v>1818</v>
      </c>
      <c r="D106">
        <v>24</v>
      </c>
    </row>
    <row r="107" spans="1:4" x14ac:dyDescent="0.3">
      <c r="A107" s="8" t="s">
        <v>8</v>
      </c>
      <c r="B107">
        <v>30.672672672672672</v>
      </c>
      <c r="C107">
        <v>1417</v>
      </c>
      <c r="D107">
        <v>120</v>
      </c>
    </row>
    <row r="108" spans="1:4" x14ac:dyDescent="0.3">
      <c r="A108" s="8" t="s">
        <v>168</v>
      </c>
      <c r="B108">
        <v>4.2972536348949921</v>
      </c>
      <c r="C108">
        <v>175</v>
      </c>
      <c r="D108">
        <v>12</v>
      </c>
    </row>
    <row r="109" spans="1:4" x14ac:dyDescent="0.3">
      <c r="A109" s="8" t="s">
        <v>126</v>
      </c>
      <c r="B109">
        <v>6.7811430076376089</v>
      </c>
      <c r="C109">
        <v>1803</v>
      </c>
      <c r="D109">
        <v>24</v>
      </c>
    </row>
    <row r="110" spans="1:4" x14ac:dyDescent="0.3">
      <c r="A110" s="8" t="s">
        <v>156</v>
      </c>
      <c r="B110">
        <v>4.7881773399014778</v>
      </c>
      <c r="C110">
        <v>479</v>
      </c>
      <c r="D110">
        <v>20</v>
      </c>
    </row>
    <row r="111" spans="1:4" x14ac:dyDescent="0.3">
      <c r="A111" s="8" t="s">
        <v>150</v>
      </c>
      <c r="B111">
        <v>5.2848101265822782</v>
      </c>
      <c r="C111">
        <v>522</v>
      </c>
      <c r="D111">
        <v>18.18181818181818</v>
      </c>
    </row>
    <row r="112" spans="1:4" x14ac:dyDescent="0.3">
      <c r="A112" s="8" t="s">
        <v>95</v>
      </c>
      <c r="B112">
        <v>9.6650236720928717</v>
      </c>
      <c r="C112">
        <v>1669</v>
      </c>
      <c r="D112">
        <v>41.17647058823529</v>
      </c>
    </row>
    <row r="113" spans="1:4" x14ac:dyDescent="0.3">
      <c r="A113" s="8" t="s">
        <v>159</v>
      </c>
      <c r="B113">
        <v>4.673573723024024</v>
      </c>
      <c r="C113">
        <v>291</v>
      </c>
      <c r="D113">
        <v>13.043478260869559</v>
      </c>
    </row>
    <row r="114" spans="1:4" x14ac:dyDescent="0.3">
      <c r="A114" s="8" t="s">
        <v>78</v>
      </c>
      <c r="B114">
        <v>13.6438809261301</v>
      </c>
      <c r="C114">
        <v>1675</v>
      </c>
      <c r="D114">
        <v>50</v>
      </c>
    </row>
    <row r="115" spans="1:4" x14ac:dyDescent="0.3">
      <c r="A115" s="8" t="s">
        <v>169</v>
      </c>
      <c r="B115">
        <v>4.1132075471698117</v>
      </c>
      <c r="C115">
        <v>154</v>
      </c>
      <c r="D115">
        <v>8</v>
      </c>
    </row>
    <row r="116" spans="1:4" x14ac:dyDescent="0.3">
      <c r="A116" s="8" t="s">
        <v>102</v>
      </c>
      <c r="B116">
        <v>8.7512844695316776</v>
      </c>
      <c r="C116">
        <v>1746</v>
      </c>
      <c r="D116">
        <v>47.368421052631582</v>
      </c>
    </row>
    <row r="117" spans="1:4" x14ac:dyDescent="0.3">
      <c r="A117" s="8" t="s">
        <v>123</v>
      </c>
      <c r="B117">
        <v>6.8728522336769764</v>
      </c>
      <c r="C117">
        <v>271</v>
      </c>
      <c r="D117">
        <v>18.75</v>
      </c>
    </row>
    <row r="118" spans="1:4" x14ac:dyDescent="0.3">
      <c r="A118" s="8" t="s">
        <v>96</v>
      </c>
      <c r="B118">
        <v>9.6461036095666746</v>
      </c>
      <c r="C118">
        <v>1817</v>
      </c>
      <c r="D118">
        <v>38.888888888888893</v>
      </c>
    </row>
    <row r="119" spans="1:4" x14ac:dyDescent="0.3">
      <c r="A119" s="8" t="s">
        <v>103</v>
      </c>
      <c r="B119">
        <v>8.6850649350649345</v>
      </c>
      <c r="C119">
        <v>1722</v>
      </c>
      <c r="D119">
        <v>36.84210526315789</v>
      </c>
    </row>
    <row r="120" spans="1:4" x14ac:dyDescent="0.3">
      <c r="A120" s="8" t="s">
        <v>59</v>
      </c>
      <c r="B120">
        <v>21.045751633986931</v>
      </c>
      <c r="C120">
        <v>132</v>
      </c>
      <c r="D120">
        <v>60</v>
      </c>
    </row>
    <row r="121" spans="1:4" x14ac:dyDescent="0.3">
      <c r="A121" s="8" t="s">
        <v>77</v>
      </c>
      <c r="B121">
        <v>13.79504504504505</v>
      </c>
      <c r="C121">
        <v>260</v>
      </c>
      <c r="D121">
        <v>37.5</v>
      </c>
    </row>
    <row r="122" spans="1:4" x14ac:dyDescent="0.3">
      <c r="A122" s="8" t="s">
        <v>94</v>
      </c>
      <c r="B122">
        <v>9.7854255208873226</v>
      </c>
      <c r="C122">
        <v>259</v>
      </c>
      <c r="D122">
        <v>27.27272727272727</v>
      </c>
    </row>
    <row r="123" spans="1:4" x14ac:dyDescent="0.3">
      <c r="A123" s="8" t="s">
        <v>70</v>
      </c>
      <c r="B123">
        <v>16.151426401995881</v>
      </c>
      <c r="C123">
        <v>414</v>
      </c>
      <c r="D123">
        <v>57.142857142857139</v>
      </c>
    </row>
    <row r="124" spans="1:4" x14ac:dyDescent="0.3">
      <c r="A124" s="8" t="s">
        <v>236</v>
      </c>
      <c r="B124">
        <v>1067.1332471627479</v>
      </c>
      <c r="C124">
        <v>99850</v>
      </c>
      <c r="D124">
        <v>3716.1995484702366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showGridLines="0" workbookViewId="0">
      <pane ySplit="1" topLeftCell="A98" activePane="bottomLeft" state="frozen"/>
      <selection pane="bottomLeft" activeCell="E121" sqref="A1:E121"/>
    </sheetView>
  </sheetViews>
  <sheetFormatPr defaultRowHeight="14.4" x14ac:dyDescent="0.3"/>
  <cols>
    <col min="1" max="2" width="14.6640625" customWidth="1"/>
    <col min="3" max="4" width="19.6640625" customWidth="1"/>
    <col min="5" max="5" width="16.6640625" customWidth="1"/>
  </cols>
  <sheetData>
    <row r="1" spans="1:5" ht="24" customHeight="1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 x14ac:dyDescent="0.3">
      <c r="A2" s="4" t="s">
        <v>8</v>
      </c>
      <c r="B2" s="4" t="s">
        <v>56</v>
      </c>
      <c r="C2" s="3">
        <v>30.672672672672672</v>
      </c>
      <c r="D2" s="3">
        <v>120</v>
      </c>
      <c r="E2" s="3">
        <v>1417</v>
      </c>
    </row>
    <row r="3" spans="1:5" x14ac:dyDescent="0.3">
      <c r="A3" s="6" t="s">
        <v>57</v>
      </c>
      <c r="B3" s="6" t="s">
        <v>56</v>
      </c>
      <c r="C3" s="3">
        <v>25.264750378214821</v>
      </c>
      <c r="D3" s="3">
        <v>100</v>
      </c>
      <c r="E3" s="3">
        <v>1388</v>
      </c>
    </row>
    <row r="4" spans="1:5" x14ac:dyDescent="0.3">
      <c r="A4" s="4" t="s">
        <v>58</v>
      </c>
      <c r="B4" s="4" t="s">
        <v>56</v>
      </c>
      <c r="C4" s="3">
        <v>22.662984350154819</v>
      </c>
      <c r="D4" s="3">
        <v>100</v>
      </c>
      <c r="E4" s="3">
        <v>1518</v>
      </c>
    </row>
    <row r="5" spans="1:5" x14ac:dyDescent="0.3">
      <c r="A5" s="6" t="s">
        <v>59</v>
      </c>
      <c r="B5" s="6" t="s">
        <v>60</v>
      </c>
      <c r="C5" s="3">
        <v>21.045751633986931</v>
      </c>
      <c r="D5" s="3">
        <v>60</v>
      </c>
      <c r="E5" s="3">
        <v>132</v>
      </c>
    </row>
    <row r="6" spans="1:5" x14ac:dyDescent="0.3">
      <c r="A6" s="4" t="s">
        <v>61</v>
      </c>
      <c r="B6" s="4" t="s">
        <v>56</v>
      </c>
      <c r="C6" s="3">
        <v>19.75386779184247</v>
      </c>
      <c r="D6" s="3">
        <v>75</v>
      </c>
      <c r="E6" s="3">
        <v>1577</v>
      </c>
    </row>
    <row r="7" spans="1:5" x14ac:dyDescent="0.3">
      <c r="A7" s="6" t="s">
        <v>62</v>
      </c>
      <c r="B7" s="6" t="s">
        <v>63</v>
      </c>
      <c r="C7" s="3">
        <v>19.34835076427996</v>
      </c>
      <c r="D7" s="3">
        <v>66.666666666666657</v>
      </c>
      <c r="E7" s="3">
        <v>408</v>
      </c>
    </row>
    <row r="8" spans="1:5" x14ac:dyDescent="0.3">
      <c r="A8" s="4" t="s">
        <v>64</v>
      </c>
      <c r="B8" s="4" t="s">
        <v>65</v>
      </c>
      <c r="C8" s="3">
        <v>18.370986920332939</v>
      </c>
      <c r="D8" s="3">
        <v>50</v>
      </c>
      <c r="E8" s="3">
        <v>263</v>
      </c>
    </row>
    <row r="9" spans="1:5" x14ac:dyDescent="0.3">
      <c r="A9" s="6" t="s">
        <v>66</v>
      </c>
      <c r="B9" s="6" t="s">
        <v>60</v>
      </c>
      <c r="C9" s="3">
        <v>17.2562893081761</v>
      </c>
      <c r="D9" s="3">
        <v>50</v>
      </c>
      <c r="E9" s="3">
        <v>119</v>
      </c>
    </row>
    <row r="10" spans="1:5" x14ac:dyDescent="0.3">
      <c r="A10" s="4" t="s">
        <v>67</v>
      </c>
      <c r="B10" s="4" t="s">
        <v>63</v>
      </c>
      <c r="C10" s="3">
        <v>16.36073423782921</v>
      </c>
      <c r="D10" s="3">
        <v>42.857142857142847</v>
      </c>
      <c r="E10" s="3">
        <v>429</v>
      </c>
    </row>
    <row r="11" spans="1:5" x14ac:dyDescent="0.3">
      <c r="A11" s="6" t="s">
        <v>68</v>
      </c>
      <c r="B11" s="6" t="s">
        <v>56</v>
      </c>
      <c r="C11" s="3">
        <v>16.311592138991742</v>
      </c>
      <c r="D11" s="3">
        <v>60</v>
      </c>
      <c r="E11" s="3">
        <v>1594</v>
      </c>
    </row>
    <row r="12" spans="1:5" x14ac:dyDescent="0.3">
      <c r="A12" s="4" t="s">
        <v>69</v>
      </c>
      <c r="B12" s="4" t="s">
        <v>56</v>
      </c>
      <c r="C12" s="3">
        <v>16.2602778565353</v>
      </c>
      <c r="D12" s="3">
        <v>70</v>
      </c>
      <c r="E12" s="3">
        <v>1585</v>
      </c>
    </row>
    <row r="13" spans="1:5" x14ac:dyDescent="0.3">
      <c r="A13" s="6" t="s">
        <v>70</v>
      </c>
      <c r="B13" s="6" t="s">
        <v>63</v>
      </c>
      <c r="C13" s="3">
        <v>16.151426401995881</v>
      </c>
      <c r="D13" s="3">
        <v>57.142857142857139</v>
      </c>
      <c r="E13" s="3">
        <v>414</v>
      </c>
    </row>
    <row r="14" spans="1:5" x14ac:dyDescent="0.3">
      <c r="A14" s="4" t="s">
        <v>71</v>
      </c>
      <c r="B14" s="4" t="s">
        <v>60</v>
      </c>
      <c r="C14" s="3">
        <v>15.12605042016807</v>
      </c>
      <c r="D14" s="3">
        <v>28.571428571428569</v>
      </c>
      <c r="E14" s="3">
        <v>142</v>
      </c>
    </row>
    <row r="15" spans="1:5" x14ac:dyDescent="0.3">
      <c r="A15" s="6" t="s">
        <v>72</v>
      </c>
      <c r="B15" s="6" t="s">
        <v>60</v>
      </c>
      <c r="C15" s="3">
        <v>14.81597005614473</v>
      </c>
      <c r="D15" s="3">
        <v>42.857142857142847</v>
      </c>
      <c r="E15" s="3">
        <v>139</v>
      </c>
    </row>
    <row r="16" spans="1:5" x14ac:dyDescent="0.3">
      <c r="A16" s="4" t="s">
        <v>73</v>
      </c>
      <c r="B16" s="4" t="s">
        <v>60</v>
      </c>
      <c r="C16" s="3">
        <v>14.78260869565217</v>
      </c>
      <c r="D16" s="3">
        <v>42.857142857142847</v>
      </c>
      <c r="E16" s="3">
        <v>130</v>
      </c>
    </row>
    <row r="17" spans="1:5" x14ac:dyDescent="0.3">
      <c r="A17" s="6" t="s">
        <v>74</v>
      </c>
      <c r="B17" s="6" t="s">
        <v>56</v>
      </c>
      <c r="C17" s="3">
        <v>14.720634841414419</v>
      </c>
      <c r="D17" s="3">
        <v>72.727272727272734</v>
      </c>
      <c r="E17" s="3">
        <v>1658</v>
      </c>
    </row>
    <row r="18" spans="1:5" x14ac:dyDescent="0.3">
      <c r="A18" s="4" t="s">
        <v>75</v>
      </c>
      <c r="B18" s="4" t="s">
        <v>63</v>
      </c>
      <c r="C18" s="3">
        <v>14.337952270977681</v>
      </c>
      <c r="D18" s="3">
        <v>50</v>
      </c>
      <c r="E18" s="3">
        <v>438</v>
      </c>
    </row>
    <row r="19" spans="1:5" x14ac:dyDescent="0.3">
      <c r="A19" s="6" t="s">
        <v>76</v>
      </c>
      <c r="B19" s="6" t="s">
        <v>63</v>
      </c>
      <c r="C19" s="3">
        <v>14.26005747126437</v>
      </c>
      <c r="D19" s="3">
        <v>37.5</v>
      </c>
      <c r="E19" s="3">
        <v>453</v>
      </c>
    </row>
    <row r="20" spans="1:5" x14ac:dyDescent="0.3">
      <c r="A20" s="4" t="s">
        <v>77</v>
      </c>
      <c r="B20" s="4" t="s">
        <v>65</v>
      </c>
      <c r="C20" s="3">
        <v>13.79504504504505</v>
      </c>
      <c r="D20" s="3">
        <v>37.5</v>
      </c>
      <c r="E20" s="3">
        <v>260</v>
      </c>
    </row>
    <row r="21" spans="1:5" x14ac:dyDescent="0.3">
      <c r="A21" s="6" t="s">
        <v>78</v>
      </c>
      <c r="B21" s="6" t="s">
        <v>56</v>
      </c>
      <c r="C21" s="3">
        <v>13.6438809261301</v>
      </c>
      <c r="D21" s="3">
        <v>50</v>
      </c>
      <c r="E21" s="3">
        <v>1675</v>
      </c>
    </row>
    <row r="22" spans="1:5" x14ac:dyDescent="0.3">
      <c r="A22" s="4" t="s">
        <v>79</v>
      </c>
      <c r="B22" s="4" t="s">
        <v>56</v>
      </c>
      <c r="C22" s="3">
        <v>13.374952705259171</v>
      </c>
      <c r="D22" s="3">
        <v>50</v>
      </c>
      <c r="E22" s="3">
        <v>1563</v>
      </c>
    </row>
    <row r="23" spans="1:5" x14ac:dyDescent="0.3">
      <c r="A23" s="6" t="s">
        <v>80</v>
      </c>
      <c r="B23" s="6" t="s">
        <v>63</v>
      </c>
      <c r="C23" s="3">
        <v>13.05035372451103</v>
      </c>
      <c r="D23" s="3">
        <v>44.444444444444443</v>
      </c>
      <c r="E23" s="3">
        <v>438</v>
      </c>
    </row>
    <row r="24" spans="1:5" x14ac:dyDescent="0.3">
      <c r="A24" s="4" t="s">
        <v>81</v>
      </c>
      <c r="B24" s="4" t="s">
        <v>63</v>
      </c>
      <c r="C24" s="3">
        <v>12.727433315668611</v>
      </c>
      <c r="D24" s="3">
        <v>44.444444444444443</v>
      </c>
      <c r="E24" s="3">
        <v>399</v>
      </c>
    </row>
    <row r="25" spans="1:5" x14ac:dyDescent="0.3">
      <c r="A25" s="6" t="s">
        <v>82</v>
      </c>
      <c r="B25" s="6" t="s">
        <v>65</v>
      </c>
      <c r="C25" s="3">
        <v>12.37373737373737</v>
      </c>
      <c r="D25" s="3">
        <v>33.333333333333329</v>
      </c>
      <c r="E25" s="3">
        <v>272</v>
      </c>
    </row>
    <row r="26" spans="1:5" x14ac:dyDescent="0.3">
      <c r="A26" s="4" t="s">
        <v>83</v>
      </c>
      <c r="B26" s="4" t="s">
        <v>65</v>
      </c>
      <c r="C26" s="3">
        <v>12.204671256919131</v>
      </c>
      <c r="D26" s="3">
        <v>33.333333333333329</v>
      </c>
      <c r="E26" s="3">
        <v>258</v>
      </c>
    </row>
    <row r="27" spans="1:5" x14ac:dyDescent="0.3">
      <c r="A27" s="6" t="s">
        <v>84</v>
      </c>
      <c r="B27" s="6" t="s">
        <v>65</v>
      </c>
      <c r="C27" s="3">
        <v>12.14294702403423</v>
      </c>
      <c r="D27" s="3">
        <v>44.444444444444443</v>
      </c>
      <c r="E27" s="3">
        <v>277</v>
      </c>
    </row>
    <row r="28" spans="1:5" x14ac:dyDescent="0.3">
      <c r="A28" s="4" t="s">
        <v>85</v>
      </c>
      <c r="B28" s="4" t="s">
        <v>56</v>
      </c>
      <c r="C28" s="3">
        <v>11.99391933497537</v>
      </c>
      <c r="D28" s="3">
        <v>57.142857142857139</v>
      </c>
      <c r="E28" s="3">
        <v>1713</v>
      </c>
    </row>
    <row r="29" spans="1:5" x14ac:dyDescent="0.3">
      <c r="A29" s="6" t="s">
        <v>86</v>
      </c>
      <c r="B29" s="6" t="s">
        <v>56</v>
      </c>
      <c r="C29" s="3">
        <v>11.662000605326879</v>
      </c>
      <c r="D29" s="3">
        <v>64.285714285714292</v>
      </c>
      <c r="E29" s="3">
        <v>1715</v>
      </c>
    </row>
    <row r="30" spans="1:5" x14ac:dyDescent="0.3">
      <c r="A30" s="4" t="s">
        <v>87</v>
      </c>
      <c r="B30" s="4" t="s">
        <v>56</v>
      </c>
      <c r="C30" s="3">
        <v>11.64299560865609</v>
      </c>
      <c r="D30" s="3">
        <v>50</v>
      </c>
      <c r="E30" s="3">
        <v>1649</v>
      </c>
    </row>
    <row r="31" spans="1:5" x14ac:dyDescent="0.3">
      <c r="A31" s="6" t="s">
        <v>88</v>
      </c>
      <c r="B31" s="6" t="s">
        <v>63</v>
      </c>
      <c r="C31" s="3">
        <v>11.58959537572254</v>
      </c>
      <c r="D31" s="3">
        <v>40</v>
      </c>
      <c r="E31" s="3">
        <v>446</v>
      </c>
    </row>
    <row r="32" spans="1:5" x14ac:dyDescent="0.3">
      <c r="A32" s="4" t="s">
        <v>89</v>
      </c>
      <c r="B32" s="4" t="s">
        <v>56</v>
      </c>
      <c r="C32" s="3">
        <v>11.18059299191375</v>
      </c>
      <c r="D32" s="3">
        <v>40</v>
      </c>
      <c r="E32" s="3">
        <v>1747</v>
      </c>
    </row>
    <row r="33" spans="1:5" x14ac:dyDescent="0.3">
      <c r="A33" s="6" t="s">
        <v>90</v>
      </c>
      <c r="B33" s="6" t="s">
        <v>65</v>
      </c>
      <c r="C33" s="3">
        <v>11.061946902654871</v>
      </c>
      <c r="D33" s="3">
        <v>30</v>
      </c>
      <c r="E33" s="3">
        <v>254</v>
      </c>
    </row>
    <row r="34" spans="1:5" x14ac:dyDescent="0.3">
      <c r="A34" s="4" t="s">
        <v>91</v>
      </c>
      <c r="B34" s="4" t="s">
        <v>60</v>
      </c>
      <c r="C34" s="3">
        <v>10.67924528301887</v>
      </c>
      <c r="D34" s="3">
        <v>30</v>
      </c>
      <c r="E34" s="3">
        <v>158</v>
      </c>
    </row>
    <row r="35" spans="1:5" x14ac:dyDescent="0.3">
      <c r="A35" s="6" t="s">
        <v>92</v>
      </c>
      <c r="B35" s="6" t="s">
        <v>56</v>
      </c>
      <c r="C35" s="3">
        <v>10.46188370846731</v>
      </c>
      <c r="D35" s="3">
        <v>62.5</v>
      </c>
      <c r="E35" s="3">
        <v>1743</v>
      </c>
    </row>
    <row r="36" spans="1:5" x14ac:dyDescent="0.3">
      <c r="A36" s="4" t="s">
        <v>93</v>
      </c>
      <c r="B36" s="4" t="s">
        <v>56</v>
      </c>
      <c r="C36" s="3">
        <v>9.8298236071178806</v>
      </c>
      <c r="D36" s="3">
        <v>47.058823529411761</v>
      </c>
      <c r="E36" s="3">
        <v>1795</v>
      </c>
    </row>
    <row r="37" spans="1:5" x14ac:dyDescent="0.3">
      <c r="A37" s="6" t="s">
        <v>94</v>
      </c>
      <c r="B37" s="6" t="s">
        <v>65</v>
      </c>
      <c r="C37" s="3">
        <v>9.7854255208873226</v>
      </c>
      <c r="D37" s="3">
        <v>27.27272727272727</v>
      </c>
      <c r="E37" s="3">
        <v>259</v>
      </c>
    </row>
    <row r="38" spans="1:5" x14ac:dyDescent="0.3">
      <c r="A38" s="4" t="s">
        <v>95</v>
      </c>
      <c r="B38" s="4" t="s">
        <v>56</v>
      </c>
      <c r="C38" s="3">
        <v>9.6650236720928717</v>
      </c>
      <c r="D38" s="3">
        <v>41.17647058823529</v>
      </c>
      <c r="E38" s="3">
        <v>1669</v>
      </c>
    </row>
    <row r="39" spans="1:5" x14ac:dyDescent="0.3">
      <c r="A39" s="6" t="s">
        <v>96</v>
      </c>
      <c r="B39" s="6" t="s">
        <v>56</v>
      </c>
      <c r="C39" s="3">
        <v>9.6461036095666746</v>
      </c>
      <c r="D39" s="3">
        <v>38.888888888888893</v>
      </c>
      <c r="E39" s="3">
        <v>1817</v>
      </c>
    </row>
    <row r="40" spans="1:5" x14ac:dyDescent="0.3">
      <c r="A40" s="4" t="s">
        <v>97</v>
      </c>
      <c r="B40" s="4" t="s">
        <v>63</v>
      </c>
      <c r="C40" s="3">
        <v>9.5300423834455223</v>
      </c>
      <c r="D40" s="3">
        <v>25</v>
      </c>
      <c r="E40" s="3">
        <v>442</v>
      </c>
    </row>
    <row r="41" spans="1:5" x14ac:dyDescent="0.3">
      <c r="A41" s="6" t="s">
        <v>98</v>
      </c>
      <c r="B41" s="6" t="s">
        <v>56</v>
      </c>
      <c r="C41" s="3">
        <v>9.4159966144731264</v>
      </c>
      <c r="D41" s="3">
        <v>35.294117647058833</v>
      </c>
      <c r="E41" s="3">
        <v>1630</v>
      </c>
    </row>
    <row r="42" spans="1:5" x14ac:dyDescent="0.3">
      <c r="A42" s="4" t="s">
        <v>99</v>
      </c>
      <c r="B42" s="4" t="s">
        <v>56</v>
      </c>
      <c r="C42" s="3">
        <v>9.3364641236981658</v>
      </c>
      <c r="D42" s="3">
        <v>44.444444444444443</v>
      </c>
      <c r="E42" s="3">
        <v>1642</v>
      </c>
    </row>
    <row r="43" spans="1:5" x14ac:dyDescent="0.3">
      <c r="A43" s="6" t="s">
        <v>100</v>
      </c>
      <c r="B43" s="6" t="s">
        <v>56</v>
      </c>
      <c r="C43" s="3">
        <v>9.1485172880521723</v>
      </c>
      <c r="D43" s="3">
        <v>33.333333333333329</v>
      </c>
      <c r="E43" s="3">
        <v>1663</v>
      </c>
    </row>
    <row r="44" spans="1:5" x14ac:dyDescent="0.3">
      <c r="A44" s="4" t="s">
        <v>101</v>
      </c>
      <c r="B44" s="4" t="s">
        <v>56</v>
      </c>
      <c r="C44" s="3">
        <v>8.9146514935988606</v>
      </c>
      <c r="D44" s="3">
        <v>36.84210526315789</v>
      </c>
      <c r="E44" s="3">
        <v>1757</v>
      </c>
    </row>
    <row r="45" spans="1:5" x14ac:dyDescent="0.3">
      <c r="A45" s="6" t="s">
        <v>102</v>
      </c>
      <c r="B45" s="6" t="s">
        <v>56</v>
      </c>
      <c r="C45" s="3">
        <v>8.7512844695316776</v>
      </c>
      <c r="D45" s="3">
        <v>47.368421052631582</v>
      </c>
      <c r="E45" s="3">
        <v>1746</v>
      </c>
    </row>
    <row r="46" spans="1:5" x14ac:dyDescent="0.3">
      <c r="A46" s="4" t="s">
        <v>103</v>
      </c>
      <c r="B46" s="4" t="s">
        <v>56</v>
      </c>
      <c r="C46" s="3">
        <v>8.6850649350649345</v>
      </c>
      <c r="D46" s="3">
        <v>36.84210526315789</v>
      </c>
      <c r="E46" s="3">
        <v>1722</v>
      </c>
    </row>
    <row r="47" spans="1:5" x14ac:dyDescent="0.3">
      <c r="A47" s="6" t="s">
        <v>104</v>
      </c>
      <c r="B47" s="6" t="s">
        <v>65</v>
      </c>
      <c r="C47" s="3">
        <v>8.3030893157475436</v>
      </c>
      <c r="D47" s="3">
        <v>23.07692307692308</v>
      </c>
      <c r="E47" s="3">
        <v>258</v>
      </c>
    </row>
    <row r="48" spans="1:5" x14ac:dyDescent="0.3">
      <c r="A48" s="4" t="s">
        <v>105</v>
      </c>
      <c r="B48" s="4" t="s">
        <v>60</v>
      </c>
      <c r="C48" s="3">
        <v>8.0497569345152975</v>
      </c>
      <c r="D48" s="3">
        <v>23.07692307692308</v>
      </c>
      <c r="E48" s="3">
        <v>161</v>
      </c>
    </row>
    <row r="49" spans="1:5" x14ac:dyDescent="0.3">
      <c r="A49" s="6" t="s">
        <v>106</v>
      </c>
      <c r="B49" s="6" t="s">
        <v>56</v>
      </c>
      <c r="C49" s="3">
        <v>7.9949743742847188</v>
      </c>
      <c r="D49" s="3">
        <v>38.095238095238088</v>
      </c>
      <c r="E49" s="3">
        <v>1807</v>
      </c>
    </row>
    <row r="50" spans="1:5" x14ac:dyDescent="0.3">
      <c r="A50" s="4" t="s">
        <v>107</v>
      </c>
      <c r="B50" s="4" t="s">
        <v>60</v>
      </c>
      <c r="C50" s="3">
        <v>7.963465106322249</v>
      </c>
      <c r="D50" s="3">
        <v>23.07692307692308</v>
      </c>
      <c r="E50" s="3">
        <v>150</v>
      </c>
    </row>
    <row r="51" spans="1:5" x14ac:dyDescent="0.3">
      <c r="A51" s="6" t="s">
        <v>108</v>
      </c>
      <c r="B51" s="6" t="s">
        <v>65</v>
      </c>
      <c r="C51" s="3">
        <v>7.8343548640578344</v>
      </c>
      <c r="D51" s="3">
        <v>21.428571428571431</v>
      </c>
      <c r="E51" s="3">
        <v>273</v>
      </c>
    </row>
    <row r="52" spans="1:5" x14ac:dyDescent="0.3">
      <c r="A52" s="4" t="s">
        <v>109</v>
      </c>
      <c r="B52" s="4" t="s">
        <v>56</v>
      </c>
      <c r="C52" s="3">
        <v>7.8111779637115726</v>
      </c>
      <c r="D52" s="3">
        <v>31.81818181818182</v>
      </c>
      <c r="E52" s="3">
        <v>1846</v>
      </c>
    </row>
    <row r="53" spans="1:5" x14ac:dyDescent="0.3">
      <c r="A53" s="6" t="s">
        <v>110</v>
      </c>
      <c r="B53" s="6" t="s">
        <v>63</v>
      </c>
      <c r="C53" s="3">
        <v>7.8018018018018029</v>
      </c>
      <c r="D53" s="3">
        <v>26.666666666666671</v>
      </c>
      <c r="E53" s="3">
        <v>498</v>
      </c>
    </row>
    <row r="54" spans="1:5" x14ac:dyDescent="0.3">
      <c r="A54" s="4" t="s">
        <v>111</v>
      </c>
      <c r="B54" s="4" t="s">
        <v>56</v>
      </c>
      <c r="C54" s="3">
        <v>7.7638125163655411</v>
      </c>
      <c r="D54" s="3">
        <v>36.363636363636367</v>
      </c>
      <c r="E54" s="3">
        <v>1821</v>
      </c>
    </row>
    <row r="55" spans="1:5" x14ac:dyDescent="0.3">
      <c r="A55" s="6" t="s">
        <v>112</v>
      </c>
      <c r="B55" s="6" t="s">
        <v>60</v>
      </c>
      <c r="C55" s="3">
        <v>7.5416373445930089</v>
      </c>
      <c r="D55" s="3">
        <v>14.285714285714279</v>
      </c>
      <c r="E55" s="3">
        <v>172</v>
      </c>
    </row>
    <row r="56" spans="1:5" x14ac:dyDescent="0.3">
      <c r="A56" s="4" t="s">
        <v>113</v>
      </c>
      <c r="B56" s="4" t="s">
        <v>56</v>
      </c>
      <c r="C56" s="3">
        <v>7.4350604250590351</v>
      </c>
      <c r="D56" s="3">
        <v>34.782608695652172</v>
      </c>
      <c r="E56" s="3">
        <v>1808</v>
      </c>
    </row>
    <row r="57" spans="1:5" x14ac:dyDescent="0.3">
      <c r="A57" s="6" t="s">
        <v>114</v>
      </c>
      <c r="B57" s="6" t="s">
        <v>56</v>
      </c>
      <c r="C57" s="3">
        <v>7.425114182335844</v>
      </c>
      <c r="D57" s="3">
        <v>34.782608695652172</v>
      </c>
      <c r="E57" s="3">
        <v>1771</v>
      </c>
    </row>
    <row r="58" spans="1:5" x14ac:dyDescent="0.3">
      <c r="A58" s="4" t="s">
        <v>115</v>
      </c>
      <c r="B58" s="4" t="s">
        <v>63</v>
      </c>
      <c r="C58" s="3">
        <v>7.400497512437811</v>
      </c>
      <c r="D58" s="3">
        <v>25</v>
      </c>
      <c r="E58" s="3">
        <v>467</v>
      </c>
    </row>
    <row r="59" spans="1:5" x14ac:dyDescent="0.3">
      <c r="A59" s="6" t="s">
        <v>116</v>
      </c>
      <c r="B59" s="6" t="s">
        <v>56</v>
      </c>
      <c r="C59" s="3">
        <v>7.3598880939277196</v>
      </c>
      <c r="D59" s="3">
        <v>30.434782608695659</v>
      </c>
      <c r="E59" s="3">
        <v>1794</v>
      </c>
    </row>
    <row r="60" spans="1:5" x14ac:dyDescent="0.3">
      <c r="A60" s="4" t="s">
        <v>117</v>
      </c>
      <c r="B60" s="4" t="s">
        <v>56</v>
      </c>
      <c r="C60" s="3">
        <v>7.3486014512041287</v>
      </c>
      <c r="D60" s="3">
        <v>34.782608695652172</v>
      </c>
      <c r="E60" s="3">
        <v>1783</v>
      </c>
    </row>
    <row r="61" spans="1:5" x14ac:dyDescent="0.3">
      <c r="A61" s="6" t="s">
        <v>118</v>
      </c>
      <c r="B61" s="6" t="s">
        <v>60</v>
      </c>
      <c r="C61" s="3">
        <v>7.218683651804672</v>
      </c>
      <c r="D61" s="3">
        <v>20</v>
      </c>
      <c r="E61" s="3">
        <v>181</v>
      </c>
    </row>
    <row r="62" spans="1:5" x14ac:dyDescent="0.3">
      <c r="A62" s="4" t="s">
        <v>119</v>
      </c>
      <c r="B62" s="4" t="s">
        <v>63</v>
      </c>
      <c r="C62" s="3">
        <v>7.2062591508052707</v>
      </c>
      <c r="D62" s="3">
        <v>25</v>
      </c>
      <c r="E62" s="3">
        <v>441</v>
      </c>
    </row>
    <row r="63" spans="1:5" x14ac:dyDescent="0.3">
      <c r="A63" s="6" t="s">
        <v>120</v>
      </c>
      <c r="B63" s="6" t="s">
        <v>63</v>
      </c>
      <c r="C63" s="3">
        <v>7.183676754668384</v>
      </c>
      <c r="D63" s="3">
        <v>37.5</v>
      </c>
      <c r="E63" s="3">
        <v>504</v>
      </c>
    </row>
    <row r="64" spans="1:5" x14ac:dyDescent="0.3">
      <c r="A64" s="4" t="s">
        <v>121</v>
      </c>
      <c r="B64" s="4" t="s">
        <v>56</v>
      </c>
      <c r="C64" s="3">
        <v>7.0896180647437594</v>
      </c>
      <c r="D64" s="3">
        <v>29.166666666666671</v>
      </c>
      <c r="E64" s="3">
        <v>1819</v>
      </c>
    </row>
    <row r="65" spans="1:5" x14ac:dyDescent="0.3">
      <c r="A65" s="6" t="s">
        <v>122</v>
      </c>
      <c r="B65" s="6" t="s">
        <v>56</v>
      </c>
      <c r="C65" s="3">
        <v>6.8977594643317026</v>
      </c>
      <c r="D65" s="3">
        <v>32</v>
      </c>
      <c r="E65" s="3">
        <v>1858</v>
      </c>
    </row>
    <row r="66" spans="1:5" x14ac:dyDescent="0.3">
      <c r="A66" s="4" t="s">
        <v>123</v>
      </c>
      <c r="B66" s="4" t="s">
        <v>65</v>
      </c>
      <c r="C66" s="3">
        <v>6.8728522336769764</v>
      </c>
      <c r="D66" s="3">
        <v>18.75</v>
      </c>
      <c r="E66" s="3">
        <v>271</v>
      </c>
    </row>
    <row r="67" spans="1:5" x14ac:dyDescent="0.3">
      <c r="A67" s="6" t="s">
        <v>124</v>
      </c>
      <c r="B67" s="6" t="s">
        <v>56</v>
      </c>
      <c r="C67" s="3">
        <v>6.8489054991991454</v>
      </c>
      <c r="D67" s="3">
        <v>24</v>
      </c>
      <c r="E67" s="3">
        <v>1814</v>
      </c>
    </row>
    <row r="68" spans="1:5" x14ac:dyDescent="0.3">
      <c r="A68" s="4" t="s">
        <v>125</v>
      </c>
      <c r="B68" s="4" t="s">
        <v>56</v>
      </c>
      <c r="C68" s="3">
        <v>6.7927083333333336</v>
      </c>
      <c r="D68" s="3">
        <v>24</v>
      </c>
      <c r="E68" s="3">
        <v>1818</v>
      </c>
    </row>
    <row r="69" spans="1:5" x14ac:dyDescent="0.3">
      <c r="A69" s="6" t="s">
        <v>126</v>
      </c>
      <c r="B69" s="6" t="s">
        <v>56</v>
      </c>
      <c r="C69" s="3">
        <v>6.7811430076376089</v>
      </c>
      <c r="D69" s="3">
        <v>24</v>
      </c>
      <c r="E69" s="3">
        <v>1803</v>
      </c>
    </row>
    <row r="70" spans="1:5" x14ac:dyDescent="0.3">
      <c r="A70" s="4" t="s">
        <v>127</v>
      </c>
      <c r="B70" s="4" t="s">
        <v>56</v>
      </c>
      <c r="C70" s="3">
        <v>6.6560424966799472</v>
      </c>
      <c r="D70" s="3">
        <v>28</v>
      </c>
      <c r="E70" s="3">
        <v>1769</v>
      </c>
    </row>
    <row r="71" spans="1:5" x14ac:dyDescent="0.3">
      <c r="A71" s="6" t="s">
        <v>128</v>
      </c>
      <c r="B71" s="6" t="s">
        <v>56</v>
      </c>
      <c r="C71" s="3">
        <v>6.6457420826352864</v>
      </c>
      <c r="D71" s="3">
        <v>26.92307692307692</v>
      </c>
      <c r="E71" s="3">
        <v>1814</v>
      </c>
    </row>
    <row r="72" spans="1:5" x14ac:dyDescent="0.3">
      <c r="A72" s="4" t="s">
        <v>129</v>
      </c>
      <c r="B72" s="4" t="s">
        <v>56</v>
      </c>
      <c r="C72" s="3">
        <v>6.6411342894393748</v>
      </c>
      <c r="D72" s="3">
        <v>30.76923076923077</v>
      </c>
      <c r="E72" s="3">
        <v>1847</v>
      </c>
    </row>
    <row r="73" spans="1:5" x14ac:dyDescent="0.3">
      <c r="A73" s="6" t="s">
        <v>130</v>
      </c>
      <c r="B73" s="6" t="s">
        <v>60</v>
      </c>
      <c r="C73" s="3">
        <v>6.637596899224806</v>
      </c>
      <c r="D73" s="3">
        <v>12.5</v>
      </c>
      <c r="E73" s="3">
        <v>160</v>
      </c>
    </row>
    <row r="74" spans="1:5" x14ac:dyDescent="0.3">
      <c r="A74" s="4" t="s">
        <v>131</v>
      </c>
      <c r="B74" s="4" t="s">
        <v>60</v>
      </c>
      <c r="C74" s="3">
        <v>6.635662431941924</v>
      </c>
      <c r="D74" s="3">
        <v>12.5</v>
      </c>
      <c r="E74" s="3">
        <v>165</v>
      </c>
    </row>
    <row r="75" spans="1:5" x14ac:dyDescent="0.3">
      <c r="A75" s="6" t="s">
        <v>132</v>
      </c>
      <c r="B75" s="6" t="s">
        <v>60</v>
      </c>
      <c r="C75" s="3">
        <v>6.6144939965694682</v>
      </c>
      <c r="D75" s="3">
        <v>12.5</v>
      </c>
      <c r="E75" s="3">
        <v>172</v>
      </c>
    </row>
    <row r="76" spans="1:5" x14ac:dyDescent="0.3">
      <c r="A76" s="4" t="s">
        <v>133</v>
      </c>
      <c r="B76" s="4" t="s">
        <v>56</v>
      </c>
      <c r="C76" s="3">
        <v>6.5779636701622506</v>
      </c>
      <c r="D76" s="3">
        <v>26.92307692307692</v>
      </c>
      <c r="E76" s="3">
        <v>1815</v>
      </c>
    </row>
    <row r="77" spans="1:5" x14ac:dyDescent="0.3">
      <c r="A77" s="6" t="s">
        <v>134</v>
      </c>
      <c r="B77" s="6" t="s">
        <v>60</v>
      </c>
      <c r="C77" s="3">
        <v>6.5711991434689514</v>
      </c>
      <c r="D77" s="3">
        <v>12.5</v>
      </c>
      <c r="E77" s="3">
        <v>136</v>
      </c>
    </row>
    <row r="78" spans="1:5" x14ac:dyDescent="0.3">
      <c r="A78" s="4" t="s">
        <v>135</v>
      </c>
      <c r="B78" s="4" t="s">
        <v>63</v>
      </c>
      <c r="C78" s="3">
        <v>6.5207925103418241</v>
      </c>
      <c r="D78" s="3">
        <v>22.222222222222221</v>
      </c>
      <c r="E78" s="3">
        <v>499</v>
      </c>
    </row>
    <row r="79" spans="1:5" x14ac:dyDescent="0.3">
      <c r="A79" s="6" t="s">
        <v>136</v>
      </c>
      <c r="B79" s="6" t="s">
        <v>56</v>
      </c>
      <c r="C79" s="3">
        <v>6.3995564663835172</v>
      </c>
      <c r="D79" s="3">
        <v>29.62962962962963</v>
      </c>
      <c r="E79" s="3">
        <v>1799</v>
      </c>
    </row>
    <row r="80" spans="1:5" x14ac:dyDescent="0.3">
      <c r="A80" s="4" t="s">
        <v>137</v>
      </c>
      <c r="B80" s="4" t="s">
        <v>60</v>
      </c>
      <c r="C80" s="3">
        <v>6.3806918116083642</v>
      </c>
      <c r="D80" s="3">
        <v>17.647058823529409</v>
      </c>
      <c r="E80" s="3">
        <v>184</v>
      </c>
    </row>
    <row r="81" spans="1:5" x14ac:dyDescent="0.3">
      <c r="A81" s="6" t="s">
        <v>138</v>
      </c>
      <c r="B81" s="6" t="s">
        <v>56</v>
      </c>
      <c r="C81" s="3">
        <v>6.3702241130132107</v>
      </c>
      <c r="D81" s="3">
        <v>26.92307692307692</v>
      </c>
      <c r="E81" s="3">
        <v>1752</v>
      </c>
    </row>
    <row r="82" spans="1:5" x14ac:dyDescent="0.3">
      <c r="A82" s="4" t="s">
        <v>139</v>
      </c>
      <c r="B82" s="4" t="s">
        <v>63</v>
      </c>
      <c r="C82" s="3">
        <v>6.2548232751967889</v>
      </c>
      <c r="D82" s="3">
        <v>26.315789473684209</v>
      </c>
      <c r="E82" s="3">
        <v>450</v>
      </c>
    </row>
    <row r="83" spans="1:5" x14ac:dyDescent="0.3">
      <c r="A83" s="6" t="s">
        <v>140</v>
      </c>
      <c r="B83" s="6" t="s">
        <v>56</v>
      </c>
      <c r="C83" s="3">
        <v>6.2333919682622847</v>
      </c>
      <c r="D83" s="3">
        <v>28.571428571428569</v>
      </c>
      <c r="E83" s="3">
        <v>1879</v>
      </c>
    </row>
    <row r="84" spans="1:5" x14ac:dyDescent="0.3">
      <c r="A84" s="4" t="s">
        <v>141</v>
      </c>
      <c r="B84" s="4" t="s">
        <v>60</v>
      </c>
      <c r="C84" s="3">
        <v>6.1860888933886802</v>
      </c>
      <c r="D84" s="3">
        <v>11.76470588235294</v>
      </c>
      <c r="E84" s="3">
        <v>174</v>
      </c>
    </row>
    <row r="85" spans="1:5" x14ac:dyDescent="0.3">
      <c r="A85" s="6" t="s">
        <v>142</v>
      </c>
      <c r="B85" s="6" t="s">
        <v>56</v>
      </c>
      <c r="C85" s="3">
        <v>6.1633436985549661</v>
      </c>
      <c r="D85" s="3">
        <v>25</v>
      </c>
      <c r="E85" s="3">
        <v>1868</v>
      </c>
    </row>
    <row r="86" spans="1:5" x14ac:dyDescent="0.3">
      <c r="A86" s="4" t="s">
        <v>143</v>
      </c>
      <c r="B86" s="4" t="s">
        <v>60</v>
      </c>
      <c r="C86" s="3">
        <v>6.1546840958605662</v>
      </c>
      <c r="D86" s="3">
        <v>11.76470588235294</v>
      </c>
      <c r="E86" s="3">
        <v>184</v>
      </c>
    </row>
    <row r="87" spans="1:5" x14ac:dyDescent="0.3">
      <c r="A87" s="6" t="s">
        <v>144</v>
      </c>
      <c r="B87" s="6" t="s">
        <v>63</v>
      </c>
      <c r="C87" s="3">
        <v>6.1348798190903464</v>
      </c>
      <c r="D87" s="3">
        <v>21.05263157894737</v>
      </c>
      <c r="E87" s="3">
        <v>465</v>
      </c>
    </row>
    <row r="88" spans="1:5" x14ac:dyDescent="0.3">
      <c r="A88" s="4" t="s">
        <v>145</v>
      </c>
      <c r="B88" s="4" t="s">
        <v>56</v>
      </c>
      <c r="C88" s="3">
        <v>6.0862596263679567</v>
      </c>
      <c r="D88" s="3">
        <v>25</v>
      </c>
      <c r="E88" s="3">
        <v>1849</v>
      </c>
    </row>
    <row r="89" spans="1:5" x14ac:dyDescent="0.3">
      <c r="A89" s="6" t="s">
        <v>146</v>
      </c>
      <c r="B89" s="6" t="s">
        <v>56</v>
      </c>
      <c r="C89" s="3">
        <v>5.9588159588159586</v>
      </c>
      <c r="D89" s="3">
        <v>28.571428571428569</v>
      </c>
      <c r="E89" s="3">
        <v>1818</v>
      </c>
    </row>
    <row r="90" spans="1:5" x14ac:dyDescent="0.3">
      <c r="A90" s="4" t="s">
        <v>147</v>
      </c>
      <c r="B90" s="4" t="s">
        <v>56</v>
      </c>
      <c r="C90" s="3">
        <v>5.8889678562753573</v>
      </c>
      <c r="D90" s="3">
        <v>24.137931034482762</v>
      </c>
      <c r="E90" s="3">
        <v>1848</v>
      </c>
    </row>
    <row r="91" spans="1:5" x14ac:dyDescent="0.3">
      <c r="A91" s="6" t="s">
        <v>148</v>
      </c>
      <c r="B91" s="6" t="s">
        <v>60</v>
      </c>
      <c r="C91" s="3">
        <v>5.7154605263157894</v>
      </c>
      <c r="D91" s="3">
        <v>15.789473684210529</v>
      </c>
      <c r="E91" s="3">
        <v>179</v>
      </c>
    </row>
    <row r="92" spans="1:5" x14ac:dyDescent="0.3">
      <c r="A92" s="4" t="s">
        <v>149</v>
      </c>
      <c r="B92" s="4" t="s">
        <v>63</v>
      </c>
      <c r="C92" s="3">
        <v>5.5828077551973836</v>
      </c>
      <c r="D92" s="3">
        <v>19.047619047619051</v>
      </c>
      <c r="E92" s="3">
        <v>464</v>
      </c>
    </row>
    <row r="93" spans="1:5" x14ac:dyDescent="0.3">
      <c r="A93" s="6" t="s">
        <v>150</v>
      </c>
      <c r="B93" s="6" t="s">
        <v>63</v>
      </c>
      <c r="C93" s="3">
        <v>5.2848101265822782</v>
      </c>
      <c r="D93" s="3">
        <v>18.18181818181818</v>
      </c>
      <c r="E93" s="3">
        <v>522</v>
      </c>
    </row>
    <row r="94" spans="1:5" x14ac:dyDescent="0.3">
      <c r="A94" s="4" t="s">
        <v>151</v>
      </c>
      <c r="B94" s="4" t="s">
        <v>65</v>
      </c>
      <c r="C94" s="3">
        <v>5.1822293163075281</v>
      </c>
      <c r="D94" s="3">
        <v>19.047619047619051</v>
      </c>
      <c r="E94" s="3">
        <v>272</v>
      </c>
    </row>
    <row r="95" spans="1:5" x14ac:dyDescent="0.3">
      <c r="A95" s="6" t="s">
        <v>152</v>
      </c>
      <c r="B95" s="6" t="s">
        <v>63</v>
      </c>
      <c r="C95" s="3">
        <v>5.0418814432989683</v>
      </c>
      <c r="D95" s="3">
        <v>16.666666666666661</v>
      </c>
      <c r="E95" s="3">
        <v>508</v>
      </c>
    </row>
    <row r="96" spans="1:5" x14ac:dyDescent="0.3">
      <c r="A96" s="4" t="s">
        <v>153</v>
      </c>
      <c r="B96" s="4" t="s">
        <v>60</v>
      </c>
      <c r="C96" s="3">
        <v>4.9401197604790434</v>
      </c>
      <c r="D96" s="3">
        <v>9.0909090909090917</v>
      </c>
      <c r="E96" s="3">
        <v>192</v>
      </c>
    </row>
    <row r="97" spans="1:5" x14ac:dyDescent="0.3">
      <c r="A97" s="6" t="s">
        <v>154</v>
      </c>
      <c r="B97" s="6" t="s">
        <v>60</v>
      </c>
      <c r="C97" s="3">
        <v>4.9292827851703072</v>
      </c>
      <c r="D97" s="3">
        <v>9.5238095238095237</v>
      </c>
      <c r="E97" s="3">
        <v>160</v>
      </c>
    </row>
    <row r="98" spans="1:5" x14ac:dyDescent="0.3">
      <c r="A98" s="4" t="s">
        <v>155</v>
      </c>
      <c r="B98" s="4" t="s">
        <v>60</v>
      </c>
      <c r="C98" s="3">
        <v>4.853869878102512</v>
      </c>
      <c r="D98" s="3">
        <v>13.63636363636363</v>
      </c>
      <c r="E98" s="3">
        <v>183</v>
      </c>
    </row>
    <row r="99" spans="1:5" x14ac:dyDescent="0.3">
      <c r="A99" s="6" t="s">
        <v>156</v>
      </c>
      <c r="B99" s="6" t="s">
        <v>63</v>
      </c>
      <c r="C99" s="3">
        <v>4.7881773399014778</v>
      </c>
      <c r="D99" s="3">
        <v>20</v>
      </c>
      <c r="E99" s="3">
        <v>479</v>
      </c>
    </row>
    <row r="100" spans="1:5" x14ac:dyDescent="0.3">
      <c r="A100" s="4" t="s">
        <v>157</v>
      </c>
      <c r="B100" s="4" t="s">
        <v>60</v>
      </c>
      <c r="C100" s="3">
        <v>4.7391725473917257</v>
      </c>
      <c r="D100" s="3">
        <v>9.0909090909090917</v>
      </c>
      <c r="E100" s="3">
        <v>187</v>
      </c>
    </row>
    <row r="101" spans="1:5" x14ac:dyDescent="0.3">
      <c r="A101" s="6" t="s">
        <v>158</v>
      </c>
      <c r="B101" s="6" t="s">
        <v>60</v>
      </c>
      <c r="C101" s="3">
        <v>4.7012599918710212</v>
      </c>
      <c r="D101" s="3">
        <v>9.0909090909090917</v>
      </c>
      <c r="E101" s="3">
        <v>187</v>
      </c>
    </row>
    <row r="102" spans="1:5" x14ac:dyDescent="0.3">
      <c r="A102" s="4" t="s">
        <v>159</v>
      </c>
      <c r="B102" s="4" t="s">
        <v>65</v>
      </c>
      <c r="C102" s="3">
        <v>4.673573723024024</v>
      </c>
      <c r="D102" s="3">
        <v>13.043478260869559</v>
      </c>
      <c r="E102" s="3">
        <v>291</v>
      </c>
    </row>
    <row r="103" spans="1:5" x14ac:dyDescent="0.3">
      <c r="A103" s="6" t="s">
        <v>160</v>
      </c>
      <c r="B103" s="6" t="s">
        <v>65</v>
      </c>
      <c r="C103" s="3">
        <v>4.548974061169182</v>
      </c>
      <c r="D103" s="3">
        <v>12.5</v>
      </c>
      <c r="E103" s="3">
        <v>253</v>
      </c>
    </row>
    <row r="104" spans="1:5" x14ac:dyDescent="0.3">
      <c r="A104" s="4" t="s">
        <v>161</v>
      </c>
      <c r="B104" s="4" t="s">
        <v>65</v>
      </c>
      <c r="C104" s="3">
        <v>4.4490216271884657</v>
      </c>
      <c r="D104" s="3">
        <v>12</v>
      </c>
      <c r="E104" s="3">
        <v>303</v>
      </c>
    </row>
    <row r="105" spans="1:5" x14ac:dyDescent="0.3">
      <c r="A105" s="6" t="s">
        <v>162</v>
      </c>
      <c r="B105" s="6" t="s">
        <v>65</v>
      </c>
      <c r="C105" s="3">
        <v>4.4382470119521908</v>
      </c>
      <c r="D105" s="3">
        <v>16</v>
      </c>
      <c r="E105" s="3">
        <v>301</v>
      </c>
    </row>
    <row r="106" spans="1:5" x14ac:dyDescent="0.3">
      <c r="A106" s="4" t="s">
        <v>163</v>
      </c>
      <c r="B106" s="4" t="s">
        <v>60</v>
      </c>
      <c r="C106" s="3">
        <v>4.4244704570791527</v>
      </c>
      <c r="D106" s="3">
        <v>8.3333333333333321</v>
      </c>
      <c r="E106" s="3">
        <v>180</v>
      </c>
    </row>
    <row r="107" spans="1:5" x14ac:dyDescent="0.3">
      <c r="A107" s="6" t="s">
        <v>164</v>
      </c>
      <c r="B107" s="6" t="s">
        <v>60</v>
      </c>
      <c r="C107" s="3">
        <v>4.3720657276995301</v>
      </c>
      <c r="D107" s="3">
        <v>12.5</v>
      </c>
      <c r="E107" s="3">
        <v>169</v>
      </c>
    </row>
    <row r="108" spans="1:5" x14ac:dyDescent="0.3">
      <c r="A108" s="4" t="s">
        <v>165</v>
      </c>
      <c r="B108" s="4" t="s">
        <v>60</v>
      </c>
      <c r="C108" s="3">
        <v>4.3626707132018199</v>
      </c>
      <c r="D108" s="3">
        <v>8.3333333333333321</v>
      </c>
      <c r="E108" s="3">
        <v>182</v>
      </c>
    </row>
    <row r="109" spans="1:5" x14ac:dyDescent="0.3">
      <c r="A109" s="6" t="s">
        <v>166</v>
      </c>
      <c r="B109" s="6" t="s">
        <v>60</v>
      </c>
      <c r="C109" s="3">
        <v>4.3540945790080734</v>
      </c>
      <c r="D109" s="3">
        <v>12.5</v>
      </c>
      <c r="E109" s="3">
        <v>176</v>
      </c>
    </row>
    <row r="110" spans="1:5" x14ac:dyDescent="0.3">
      <c r="A110" s="4" t="s">
        <v>167</v>
      </c>
      <c r="B110" s="4" t="s">
        <v>60</v>
      </c>
      <c r="C110" s="3">
        <v>4.3354037267080754</v>
      </c>
      <c r="D110" s="3">
        <v>12</v>
      </c>
      <c r="E110" s="3">
        <v>198</v>
      </c>
    </row>
    <row r="111" spans="1:5" x14ac:dyDescent="0.3">
      <c r="A111" s="6" t="s">
        <v>168</v>
      </c>
      <c r="B111" s="6" t="s">
        <v>60</v>
      </c>
      <c r="C111" s="3">
        <v>4.2972536348949921</v>
      </c>
      <c r="D111" s="3">
        <v>12</v>
      </c>
      <c r="E111" s="3">
        <v>175</v>
      </c>
    </row>
    <row r="112" spans="1:5" x14ac:dyDescent="0.3">
      <c r="A112" s="4" t="s">
        <v>169</v>
      </c>
      <c r="B112" s="4" t="s">
        <v>60</v>
      </c>
      <c r="C112" s="3">
        <v>4.1132075471698117</v>
      </c>
      <c r="D112" s="3">
        <v>8</v>
      </c>
      <c r="E112" s="3">
        <v>154</v>
      </c>
    </row>
    <row r="113" spans="1:5" x14ac:dyDescent="0.3">
      <c r="A113" s="6" t="s">
        <v>170</v>
      </c>
      <c r="B113" s="6" t="s">
        <v>60</v>
      </c>
      <c r="C113" s="3">
        <v>4.0462427745664744</v>
      </c>
      <c r="D113" s="3">
        <v>11.53846153846154</v>
      </c>
      <c r="E113" s="3">
        <v>152</v>
      </c>
    </row>
    <row r="114" spans="1:5" x14ac:dyDescent="0.3">
      <c r="A114" s="4" t="s">
        <v>171</v>
      </c>
      <c r="B114" s="4" t="s">
        <v>60</v>
      </c>
      <c r="C114" s="3">
        <v>4</v>
      </c>
      <c r="D114" s="3">
        <v>7.6923076923076934</v>
      </c>
      <c r="E114" s="3">
        <v>163</v>
      </c>
    </row>
    <row r="115" spans="1:5" x14ac:dyDescent="0.3">
      <c r="A115" s="6" t="s">
        <v>172</v>
      </c>
      <c r="B115" s="6" t="s">
        <v>60</v>
      </c>
      <c r="C115" s="3">
        <v>3.9872971065631622</v>
      </c>
      <c r="D115" s="3">
        <v>7.6923076923076934</v>
      </c>
      <c r="E115" s="3">
        <v>164</v>
      </c>
    </row>
    <row r="116" spans="1:5" x14ac:dyDescent="0.3">
      <c r="A116" s="4" t="s">
        <v>173</v>
      </c>
      <c r="B116" s="4" t="s">
        <v>63</v>
      </c>
      <c r="C116" s="3">
        <v>3.9456248572081338</v>
      </c>
      <c r="D116" s="3">
        <v>13.33333333333333</v>
      </c>
      <c r="E116" s="3">
        <v>469</v>
      </c>
    </row>
    <row r="117" spans="1:5" x14ac:dyDescent="0.3">
      <c r="A117" s="6" t="s">
        <v>174</v>
      </c>
      <c r="B117" s="6" t="s">
        <v>60</v>
      </c>
      <c r="C117" s="3">
        <v>3.890641430073607</v>
      </c>
      <c r="D117" s="3">
        <v>7.4074074074074074</v>
      </c>
      <c r="E117" s="3">
        <v>180</v>
      </c>
    </row>
    <row r="118" spans="1:5" x14ac:dyDescent="0.3">
      <c r="A118" s="4" t="s">
        <v>175</v>
      </c>
      <c r="B118" s="4" t="s">
        <v>60</v>
      </c>
      <c r="C118" s="3">
        <v>3.8087520259319292</v>
      </c>
      <c r="D118" s="3">
        <v>10.71428571428571</v>
      </c>
      <c r="E118" s="3">
        <v>189</v>
      </c>
    </row>
    <row r="119" spans="1:5" x14ac:dyDescent="0.3">
      <c r="A119" s="6" t="s">
        <v>176</v>
      </c>
      <c r="B119" s="6" t="s">
        <v>60</v>
      </c>
      <c r="C119" s="3">
        <v>3.7481259370314839</v>
      </c>
      <c r="D119" s="3">
        <v>10.3448275862069</v>
      </c>
      <c r="E119" s="3">
        <v>184</v>
      </c>
    </row>
    <row r="120" spans="1:5" x14ac:dyDescent="0.3">
      <c r="A120" s="4" t="s">
        <v>177</v>
      </c>
      <c r="B120" s="4" t="s">
        <v>60</v>
      </c>
      <c r="C120" s="3">
        <v>3.582502768549281</v>
      </c>
      <c r="D120" s="3">
        <v>10</v>
      </c>
      <c r="E120" s="3">
        <v>179</v>
      </c>
    </row>
    <row r="121" spans="1:5" x14ac:dyDescent="0.3">
      <c r="A121" s="6" t="s">
        <v>11</v>
      </c>
      <c r="B121" s="6" t="s">
        <v>60</v>
      </c>
      <c r="C121" s="3">
        <v>3.562255723059744</v>
      </c>
      <c r="D121" s="3">
        <v>6.666666666666667</v>
      </c>
      <c r="E121" s="3">
        <v>177</v>
      </c>
    </row>
  </sheetData>
  <autoFilter ref="A1:E121" xr:uid="{00000000-0009-0000-0000-000001000000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6640625" customWidth="1"/>
    <col min="2" max="2" width="19.6640625" customWidth="1"/>
    <col min="3" max="3" width="16.6640625" customWidth="1"/>
  </cols>
  <sheetData>
    <row r="1" spans="1:3" ht="24" customHeight="1" x14ac:dyDescent="0.3">
      <c r="A1" s="1" t="s">
        <v>178</v>
      </c>
      <c r="B1" s="1" t="s">
        <v>53</v>
      </c>
      <c r="C1" s="1" t="s">
        <v>55</v>
      </c>
    </row>
    <row r="2" spans="1:3" x14ac:dyDescent="0.3">
      <c r="A2" s="3">
        <v>0</v>
      </c>
      <c r="B2" s="3">
        <v>7.7057176247635972</v>
      </c>
      <c r="C2" s="3">
        <v>0</v>
      </c>
    </row>
    <row r="3" spans="1:3" x14ac:dyDescent="0.3">
      <c r="A3" s="3">
        <v>1</v>
      </c>
      <c r="B3" s="3">
        <v>7.0172383713089603</v>
      </c>
      <c r="C3" s="3">
        <v>0</v>
      </c>
    </row>
    <row r="4" spans="1:3" x14ac:dyDescent="0.3">
      <c r="A4" s="3">
        <v>2</v>
      </c>
      <c r="B4" s="3">
        <v>6.6628015397690188</v>
      </c>
      <c r="C4" s="3">
        <v>0</v>
      </c>
    </row>
    <row r="5" spans="1:3" x14ac:dyDescent="0.3">
      <c r="A5" s="3">
        <v>3</v>
      </c>
      <c r="B5" s="3">
        <v>6.384481287165122</v>
      </c>
      <c r="C5" s="3">
        <v>0</v>
      </c>
    </row>
    <row r="6" spans="1:3" x14ac:dyDescent="0.3">
      <c r="A6" s="3">
        <v>4</v>
      </c>
      <c r="B6" s="3">
        <v>6.2861680046697526</v>
      </c>
      <c r="C6" s="3">
        <v>0</v>
      </c>
    </row>
    <row r="7" spans="1:3" x14ac:dyDescent="0.3">
      <c r="A7" s="3">
        <v>5</v>
      </c>
      <c r="B7" s="3">
        <v>6.0723972585385626</v>
      </c>
      <c r="C7" s="3">
        <v>0</v>
      </c>
    </row>
    <row r="8" spans="1:3" x14ac:dyDescent="0.3">
      <c r="A8" s="3">
        <v>7</v>
      </c>
      <c r="B8" s="3">
        <v>6.5398650852947862</v>
      </c>
      <c r="C8" s="3">
        <v>1335</v>
      </c>
    </row>
    <row r="9" spans="1:3" x14ac:dyDescent="0.3">
      <c r="A9" s="3">
        <v>8</v>
      </c>
      <c r="B9" s="3">
        <v>6.7819549598341213</v>
      </c>
      <c r="C9" s="3">
        <v>2062</v>
      </c>
    </row>
    <row r="10" spans="1:3" x14ac:dyDescent="0.3">
      <c r="A10" s="3">
        <v>9</v>
      </c>
      <c r="B10" s="3">
        <v>7.0545323866053851</v>
      </c>
      <c r="C10" s="3">
        <v>3014</v>
      </c>
    </row>
    <row r="11" spans="1:3" x14ac:dyDescent="0.3">
      <c r="A11" s="3">
        <v>10</v>
      </c>
      <c r="B11" s="3">
        <v>7.5059437789015426</v>
      </c>
      <c r="C11" s="3">
        <v>4220</v>
      </c>
    </row>
    <row r="12" spans="1:3" x14ac:dyDescent="0.3">
      <c r="A12" s="3">
        <v>11</v>
      </c>
      <c r="B12" s="3">
        <v>8.0253672056219489</v>
      </c>
      <c r="C12" s="3">
        <v>5491</v>
      </c>
    </row>
    <row r="13" spans="1:3" x14ac:dyDescent="0.3">
      <c r="A13" s="3">
        <v>12</v>
      </c>
      <c r="B13" s="3">
        <v>8.5164331052368976</v>
      </c>
      <c r="C13" s="3">
        <v>6244</v>
      </c>
    </row>
    <row r="14" spans="1:3" x14ac:dyDescent="0.3">
      <c r="A14" s="3">
        <v>13</v>
      </c>
      <c r="B14" s="3">
        <v>8.9351830711311369</v>
      </c>
      <c r="C14" s="3">
        <v>6463</v>
      </c>
    </row>
    <row r="15" spans="1:3" x14ac:dyDescent="0.3">
      <c r="A15" s="3">
        <v>14</v>
      </c>
      <c r="B15" s="3">
        <v>9.1285785227043394</v>
      </c>
      <c r="C15" s="3">
        <v>6223</v>
      </c>
    </row>
    <row r="16" spans="1:3" x14ac:dyDescent="0.3">
      <c r="A16" s="3">
        <v>15</v>
      </c>
      <c r="B16" s="3">
        <v>9.23808309756404</v>
      </c>
      <c r="C16" s="3">
        <v>6127</v>
      </c>
    </row>
    <row r="17" spans="1:3" x14ac:dyDescent="0.3">
      <c r="A17" s="3">
        <v>16</v>
      </c>
      <c r="B17" s="3">
        <v>9.4437366251693184</v>
      </c>
      <c r="C17" s="3">
        <v>7046</v>
      </c>
    </row>
    <row r="18" spans="1:3" x14ac:dyDescent="0.3">
      <c r="A18" s="3">
        <v>17</v>
      </c>
      <c r="B18" s="3">
        <v>9.8407971937013681</v>
      </c>
      <c r="C18" s="3">
        <v>8990</v>
      </c>
    </row>
    <row r="19" spans="1:3" x14ac:dyDescent="0.3">
      <c r="A19" s="3">
        <v>18</v>
      </c>
      <c r="B19" s="3">
        <v>10.450732425058129</v>
      </c>
      <c r="C19" s="3">
        <v>10808</v>
      </c>
    </row>
    <row r="20" spans="1:3" x14ac:dyDescent="0.3">
      <c r="A20" s="3">
        <v>19</v>
      </c>
      <c r="B20" s="3">
        <v>11.22214876028446</v>
      </c>
      <c r="C20" s="3">
        <v>12313</v>
      </c>
    </row>
    <row r="21" spans="1:3" x14ac:dyDescent="0.3">
      <c r="A21" s="3">
        <v>20</v>
      </c>
      <c r="B21" s="3">
        <v>11.6125814141239</v>
      </c>
      <c r="C21" s="3">
        <v>10765</v>
      </c>
    </row>
    <row r="22" spans="1:3" x14ac:dyDescent="0.3">
      <c r="A22" s="3">
        <v>21</v>
      </c>
      <c r="B22" s="3">
        <v>11.282837501711411</v>
      </c>
      <c r="C22" s="3">
        <v>7877</v>
      </c>
    </row>
    <row r="23" spans="1:3" x14ac:dyDescent="0.3">
      <c r="A23" s="3">
        <v>22</v>
      </c>
      <c r="B23" s="3">
        <v>9.9523775539733776</v>
      </c>
      <c r="C23" s="3">
        <v>872</v>
      </c>
    </row>
    <row r="24" spans="1:3" x14ac:dyDescent="0.3">
      <c r="A24" s="3">
        <v>23</v>
      </c>
      <c r="B24" s="3">
        <v>8.6980595799452232</v>
      </c>
      <c r="C24" s="3">
        <v>0</v>
      </c>
    </row>
  </sheetData>
  <autoFilter ref="A1:C24" xr:uid="{00000000-0009-0000-0000-000002000000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1"/>
  <sheetViews>
    <sheetView showGridLines="0"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4.6640625" customWidth="1"/>
    <col min="2" max="2" width="16.6640625" customWidth="1"/>
    <col min="3" max="3" width="15.6640625" customWidth="1"/>
    <col min="4" max="5" width="14.6640625" customWidth="1"/>
    <col min="6" max="6" width="21.6640625" customWidth="1"/>
  </cols>
  <sheetData>
    <row r="1" spans="1:6" ht="24" customHeight="1" x14ac:dyDescent="0.3">
      <c r="A1" s="1" t="s">
        <v>51</v>
      </c>
      <c r="B1" s="1" t="s">
        <v>55</v>
      </c>
      <c r="C1" s="1" t="s">
        <v>179</v>
      </c>
      <c r="D1" s="1" t="s">
        <v>180</v>
      </c>
      <c r="E1" s="1" t="s">
        <v>52</v>
      </c>
      <c r="F1" s="1" t="s">
        <v>181</v>
      </c>
    </row>
    <row r="2" spans="1:6" x14ac:dyDescent="0.3">
      <c r="A2" s="4" t="s">
        <v>11</v>
      </c>
      <c r="B2" s="3">
        <v>177</v>
      </c>
      <c r="C2" s="3">
        <v>138</v>
      </c>
      <c r="D2" s="3">
        <v>30</v>
      </c>
      <c r="E2" s="4" t="s">
        <v>60</v>
      </c>
      <c r="F2" s="3">
        <v>4.2753623188405802E-2</v>
      </c>
    </row>
    <row r="3" spans="1:6" x14ac:dyDescent="0.3">
      <c r="A3" s="6" t="s">
        <v>177</v>
      </c>
      <c r="B3" s="3">
        <v>179</v>
      </c>
      <c r="C3" s="3">
        <v>139</v>
      </c>
      <c r="D3" s="3">
        <v>30</v>
      </c>
      <c r="E3" s="6" t="s">
        <v>60</v>
      </c>
      <c r="F3" s="3">
        <v>4.2925659472422058E-2</v>
      </c>
    </row>
    <row r="4" spans="1:6" x14ac:dyDescent="0.3">
      <c r="A4" s="4" t="s">
        <v>176</v>
      </c>
      <c r="B4" s="3">
        <v>184</v>
      </c>
      <c r="C4" s="3">
        <v>142</v>
      </c>
      <c r="D4" s="3">
        <v>29</v>
      </c>
      <c r="E4" s="4" t="s">
        <v>60</v>
      </c>
      <c r="F4" s="3">
        <v>4.4681884409907717E-2</v>
      </c>
    </row>
    <row r="5" spans="1:6" x14ac:dyDescent="0.3">
      <c r="A5" s="6" t="s">
        <v>175</v>
      </c>
      <c r="B5" s="3">
        <v>189</v>
      </c>
      <c r="C5" s="3">
        <v>150</v>
      </c>
      <c r="D5" s="3">
        <v>28</v>
      </c>
      <c r="E5" s="6" t="s">
        <v>60</v>
      </c>
      <c r="F5" s="3">
        <v>4.4999999999999998E-2</v>
      </c>
    </row>
    <row r="6" spans="1:6" x14ac:dyDescent="0.3">
      <c r="A6" s="4" t="s">
        <v>170</v>
      </c>
      <c r="B6" s="3">
        <v>152</v>
      </c>
      <c r="C6" s="3">
        <v>129</v>
      </c>
      <c r="D6" s="3">
        <v>26</v>
      </c>
      <c r="E6" s="4" t="s">
        <v>60</v>
      </c>
      <c r="F6" s="3">
        <v>4.5319022063208113E-2</v>
      </c>
    </row>
    <row r="7" spans="1:6" x14ac:dyDescent="0.3">
      <c r="A7" s="6" t="s">
        <v>172</v>
      </c>
      <c r="B7" s="3">
        <v>164</v>
      </c>
      <c r="C7" s="3">
        <v>138</v>
      </c>
      <c r="D7" s="3">
        <v>26</v>
      </c>
      <c r="E7" s="6" t="s">
        <v>60</v>
      </c>
      <c r="F7" s="3">
        <v>4.5707915273132657E-2</v>
      </c>
    </row>
    <row r="8" spans="1:6" x14ac:dyDescent="0.3">
      <c r="A8" s="4" t="s">
        <v>169</v>
      </c>
      <c r="B8" s="3">
        <v>154</v>
      </c>
      <c r="C8" s="3">
        <v>133</v>
      </c>
      <c r="D8" s="3">
        <v>25</v>
      </c>
      <c r="E8" s="4" t="s">
        <v>60</v>
      </c>
      <c r="F8" s="3">
        <v>4.6315789473684213E-2</v>
      </c>
    </row>
    <row r="9" spans="1:6" x14ac:dyDescent="0.3">
      <c r="A9" s="6" t="s">
        <v>171</v>
      </c>
      <c r="B9" s="3">
        <v>163</v>
      </c>
      <c r="C9" s="3">
        <v>134</v>
      </c>
      <c r="D9" s="3">
        <v>26</v>
      </c>
      <c r="E9" s="6" t="s">
        <v>60</v>
      </c>
      <c r="F9" s="3">
        <v>4.6785304247990822E-2</v>
      </c>
    </row>
    <row r="10" spans="1:6" x14ac:dyDescent="0.3">
      <c r="A10" s="4" t="s">
        <v>174</v>
      </c>
      <c r="B10" s="3">
        <v>180</v>
      </c>
      <c r="C10" s="3">
        <v>142</v>
      </c>
      <c r="D10" s="3">
        <v>27</v>
      </c>
      <c r="E10" s="4" t="s">
        <v>60</v>
      </c>
      <c r="F10" s="3">
        <v>4.6948356807511728E-2</v>
      </c>
    </row>
    <row r="11" spans="1:6" x14ac:dyDescent="0.3">
      <c r="A11" s="6" t="s">
        <v>164</v>
      </c>
      <c r="B11" s="3">
        <v>169</v>
      </c>
      <c r="C11" s="3">
        <v>145</v>
      </c>
      <c r="D11" s="3">
        <v>24</v>
      </c>
      <c r="E11" s="6" t="s">
        <v>60</v>
      </c>
      <c r="F11" s="3">
        <v>4.8563218390804602E-2</v>
      </c>
    </row>
    <row r="12" spans="1:6" x14ac:dyDescent="0.3">
      <c r="A12" s="4" t="s">
        <v>168</v>
      </c>
      <c r="B12" s="3">
        <v>175</v>
      </c>
      <c r="C12" s="3">
        <v>137</v>
      </c>
      <c r="D12" s="3">
        <v>25</v>
      </c>
      <c r="E12" s="4" t="s">
        <v>60</v>
      </c>
      <c r="F12" s="3">
        <v>5.1094890510948912E-2</v>
      </c>
    </row>
    <row r="13" spans="1:6" x14ac:dyDescent="0.3">
      <c r="A13" s="6" t="s">
        <v>163</v>
      </c>
      <c r="B13" s="3">
        <v>180</v>
      </c>
      <c r="C13" s="3">
        <v>144</v>
      </c>
      <c r="D13" s="3">
        <v>24</v>
      </c>
      <c r="E13" s="6" t="s">
        <v>60</v>
      </c>
      <c r="F13" s="3">
        <v>5.2083333333333343E-2</v>
      </c>
    </row>
    <row r="14" spans="1:6" x14ac:dyDescent="0.3">
      <c r="A14" s="4" t="s">
        <v>166</v>
      </c>
      <c r="B14" s="3">
        <v>176</v>
      </c>
      <c r="C14" s="3">
        <v>138</v>
      </c>
      <c r="D14" s="3">
        <v>24</v>
      </c>
      <c r="E14" s="4" t="s">
        <v>60</v>
      </c>
      <c r="F14" s="3">
        <v>5.3140096618357488E-2</v>
      </c>
    </row>
    <row r="15" spans="1:6" x14ac:dyDescent="0.3">
      <c r="A15" s="6" t="s">
        <v>154</v>
      </c>
      <c r="B15" s="3">
        <v>160</v>
      </c>
      <c r="C15" s="3">
        <v>140</v>
      </c>
      <c r="D15" s="3">
        <v>21</v>
      </c>
      <c r="E15" s="6" t="s">
        <v>60</v>
      </c>
      <c r="F15" s="3">
        <v>5.4421768707482991E-2</v>
      </c>
    </row>
    <row r="16" spans="1:6" x14ac:dyDescent="0.3">
      <c r="A16" s="4" t="s">
        <v>165</v>
      </c>
      <c r="B16" s="3">
        <v>182</v>
      </c>
      <c r="C16" s="3">
        <v>138</v>
      </c>
      <c r="D16" s="3">
        <v>24</v>
      </c>
      <c r="E16" s="4" t="s">
        <v>60</v>
      </c>
      <c r="F16" s="3">
        <v>5.495169082125604E-2</v>
      </c>
    </row>
    <row r="17" spans="1:6" x14ac:dyDescent="0.3">
      <c r="A17" s="6" t="s">
        <v>167</v>
      </c>
      <c r="B17" s="3">
        <v>198</v>
      </c>
      <c r="C17" s="3">
        <v>144</v>
      </c>
      <c r="D17" s="3">
        <v>25</v>
      </c>
      <c r="E17" s="6" t="s">
        <v>60</v>
      </c>
      <c r="F17" s="3">
        <v>5.5E-2</v>
      </c>
    </row>
    <row r="18" spans="1:6" x14ac:dyDescent="0.3">
      <c r="A18" s="4" t="s">
        <v>158</v>
      </c>
      <c r="B18" s="3">
        <v>187</v>
      </c>
      <c r="C18" s="3">
        <v>154</v>
      </c>
      <c r="D18" s="3">
        <v>22</v>
      </c>
      <c r="E18" s="4" t="s">
        <v>60</v>
      </c>
      <c r="F18" s="3">
        <v>5.5194805194805192E-2</v>
      </c>
    </row>
    <row r="19" spans="1:6" x14ac:dyDescent="0.3">
      <c r="A19" s="6" t="s">
        <v>155</v>
      </c>
      <c r="B19" s="3">
        <v>183</v>
      </c>
      <c r="C19" s="3">
        <v>146</v>
      </c>
      <c r="D19" s="3">
        <v>22</v>
      </c>
      <c r="E19" s="6" t="s">
        <v>60</v>
      </c>
      <c r="F19" s="3">
        <v>5.6973848069738479E-2</v>
      </c>
    </row>
    <row r="20" spans="1:6" x14ac:dyDescent="0.3">
      <c r="A20" s="4" t="s">
        <v>157</v>
      </c>
      <c r="B20" s="3">
        <v>187</v>
      </c>
      <c r="C20" s="3">
        <v>149</v>
      </c>
      <c r="D20" s="3">
        <v>22</v>
      </c>
      <c r="E20" s="4" t="s">
        <v>60</v>
      </c>
      <c r="F20" s="3">
        <v>5.7046979865771813E-2</v>
      </c>
    </row>
    <row r="21" spans="1:6" x14ac:dyDescent="0.3">
      <c r="A21" s="6" t="s">
        <v>162</v>
      </c>
      <c r="B21" s="3">
        <v>301</v>
      </c>
      <c r="C21" s="3">
        <v>208</v>
      </c>
      <c r="D21" s="3">
        <v>25</v>
      </c>
      <c r="E21" s="6" t="s">
        <v>65</v>
      </c>
      <c r="F21" s="3">
        <v>5.7884615384615382E-2</v>
      </c>
    </row>
    <row r="22" spans="1:6" x14ac:dyDescent="0.3">
      <c r="A22" s="4" t="s">
        <v>161</v>
      </c>
      <c r="B22" s="3">
        <v>303</v>
      </c>
      <c r="C22" s="3">
        <v>207</v>
      </c>
      <c r="D22" s="3">
        <v>25</v>
      </c>
      <c r="E22" s="4" t="s">
        <v>65</v>
      </c>
      <c r="F22" s="3">
        <v>5.8550724637681163E-2</v>
      </c>
    </row>
    <row r="23" spans="1:6" x14ac:dyDescent="0.3">
      <c r="A23" s="6" t="s">
        <v>173</v>
      </c>
      <c r="B23" s="3">
        <v>469</v>
      </c>
      <c r="C23" s="3">
        <v>266</v>
      </c>
      <c r="D23" s="3">
        <v>30</v>
      </c>
      <c r="E23" s="6" t="s">
        <v>63</v>
      </c>
      <c r="F23" s="3">
        <v>5.8771929824561413E-2</v>
      </c>
    </row>
    <row r="24" spans="1:6" x14ac:dyDescent="0.3">
      <c r="A24" s="4" t="s">
        <v>159</v>
      </c>
      <c r="B24" s="3">
        <v>291</v>
      </c>
      <c r="C24" s="3">
        <v>214</v>
      </c>
      <c r="D24" s="3">
        <v>23</v>
      </c>
      <c r="E24" s="4" t="s">
        <v>65</v>
      </c>
      <c r="F24" s="3">
        <v>5.9122308004876063E-2</v>
      </c>
    </row>
    <row r="25" spans="1:6" x14ac:dyDescent="0.3">
      <c r="A25" s="6" t="s">
        <v>160</v>
      </c>
      <c r="B25" s="3">
        <v>253</v>
      </c>
      <c r="C25" s="3">
        <v>178</v>
      </c>
      <c r="D25" s="3">
        <v>24</v>
      </c>
      <c r="E25" s="6" t="s">
        <v>65</v>
      </c>
      <c r="F25" s="3">
        <v>5.9222846441947558E-2</v>
      </c>
    </row>
    <row r="26" spans="1:6" x14ac:dyDescent="0.3">
      <c r="A26" s="4" t="s">
        <v>153</v>
      </c>
      <c r="B26" s="3">
        <v>192</v>
      </c>
      <c r="C26" s="3">
        <v>145</v>
      </c>
      <c r="D26" s="3">
        <v>22</v>
      </c>
      <c r="E26" s="4" t="s">
        <v>60</v>
      </c>
      <c r="F26" s="3">
        <v>6.0188087774294671E-2</v>
      </c>
    </row>
    <row r="27" spans="1:6" x14ac:dyDescent="0.3">
      <c r="A27" s="6" t="s">
        <v>148</v>
      </c>
      <c r="B27" s="3">
        <v>179</v>
      </c>
      <c r="C27" s="3">
        <v>140</v>
      </c>
      <c r="D27" s="3">
        <v>19</v>
      </c>
      <c r="E27" s="6" t="s">
        <v>60</v>
      </c>
      <c r="F27" s="3">
        <v>6.7293233082706766E-2</v>
      </c>
    </row>
    <row r="28" spans="1:6" x14ac:dyDescent="0.3">
      <c r="A28" s="4" t="s">
        <v>151</v>
      </c>
      <c r="B28" s="3">
        <v>272</v>
      </c>
      <c r="C28" s="3">
        <v>187</v>
      </c>
      <c r="D28" s="3">
        <v>21</v>
      </c>
      <c r="E28" s="4" t="s">
        <v>65</v>
      </c>
      <c r="F28" s="3">
        <v>6.9264069264069264E-2</v>
      </c>
    </row>
    <row r="29" spans="1:6" x14ac:dyDescent="0.3">
      <c r="A29" s="6" t="s">
        <v>141</v>
      </c>
      <c r="B29" s="3">
        <v>174</v>
      </c>
      <c r="C29" s="3">
        <v>141</v>
      </c>
      <c r="D29" s="3">
        <v>17</v>
      </c>
      <c r="E29" s="6" t="s">
        <v>60</v>
      </c>
      <c r="F29" s="3">
        <v>7.2590738423028781E-2</v>
      </c>
    </row>
    <row r="30" spans="1:6" x14ac:dyDescent="0.3">
      <c r="A30" s="4" t="s">
        <v>134</v>
      </c>
      <c r="B30" s="3">
        <v>136</v>
      </c>
      <c r="C30" s="3">
        <v>115</v>
      </c>
      <c r="D30" s="3">
        <v>16</v>
      </c>
      <c r="E30" s="4" t="s">
        <v>60</v>
      </c>
      <c r="F30" s="3">
        <v>7.3913043478260873E-2</v>
      </c>
    </row>
    <row r="31" spans="1:6" x14ac:dyDescent="0.3">
      <c r="A31" s="6" t="s">
        <v>143</v>
      </c>
      <c r="B31" s="3">
        <v>184</v>
      </c>
      <c r="C31" s="3">
        <v>145</v>
      </c>
      <c r="D31" s="3">
        <v>17</v>
      </c>
      <c r="E31" s="6" t="s">
        <v>60</v>
      </c>
      <c r="F31" s="3">
        <v>7.4645030425963488E-2</v>
      </c>
    </row>
    <row r="32" spans="1:6" x14ac:dyDescent="0.3">
      <c r="A32" s="4" t="s">
        <v>156</v>
      </c>
      <c r="B32" s="3">
        <v>479</v>
      </c>
      <c r="C32" s="3">
        <v>255</v>
      </c>
      <c r="D32" s="3">
        <v>25</v>
      </c>
      <c r="E32" s="4" t="s">
        <v>63</v>
      </c>
      <c r="F32" s="3">
        <v>7.5137254901960784E-2</v>
      </c>
    </row>
    <row r="33" spans="1:6" x14ac:dyDescent="0.3">
      <c r="A33" s="6" t="s">
        <v>132</v>
      </c>
      <c r="B33" s="3">
        <v>172</v>
      </c>
      <c r="C33" s="3">
        <v>139</v>
      </c>
      <c r="D33" s="3">
        <v>16</v>
      </c>
      <c r="E33" s="6" t="s">
        <v>60</v>
      </c>
      <c r="F33" s="3">
        <v>7.7338129496402883E-2</v>
      </c>
    </row>
    <row r="34" spans="1:6" x14ac:dyDescent="0.3">
      <c r="A34" s="4" t="s">
        <v>152</v>
      </c>
      <c r="B34" s="3">
        <v>508</v>
      </c>
      <c r="C34" s="3">
        <v>269</v>
      </c>
      <c r="D34" s="3">
        <v>24</v>
      </c>
      <c r="E34" s="4" t="s">
        <v>63</v>
      </c>
      <c r="F34" s="3">
        <v>7.8686493184634443E-2</v>
      </c>
    </row>
    <row r="35" spans="1:6" x14ac:dyDescent="0.3">
      <c r="A35" s="6" t="s">
        <v>137</v>
      </c>
      <c r="B35" s="3">
        <v>184</v>
      </c>
      <c r="C35" s="3">
        <v>137</v>
      </c>
      <c r="D35" s="3">
        <v>17</v>
      </c>
      <c r="E35" s="6" t="s">
        <v>60</v>
      </c>
      <c r="F35" s="3">
        <v>7.9003864319450404E-2</v>
      </c>
    </row>
    <row r="36" spans="1:6" x14ac:dyDescent="0.3">
      <c r="A36" s="4" t="s">
        <v>130</v>
      </c>
      <c r="B36" s="3">
        <v>160</v>
      </c>
      <c r="C36" s="3">
        <v>124</v>
      </c>
      <c r="D36" s="3">
        <v>16</v>
      </c>
      <c r="E36" s="4" t="s">
        <v>60</v>
      </c>
      <c r="F36" s="3">
        <v>8.0645161290322578E-2</v>
      </c>
    </row>
    <row r="37" spans="1:6" x14ac:dyDescent="0.3">
      <c r="A37" s="6" t="s">
        <v>131</v>
      </c>
      <c r="B37" s="3">
        <v>165</v>
      </c>
      <c r="C37" s="3">
        <v>125</v>
      </c>
      <c r="D37" s="3">
        <v>16</v>
      </c>
      <c r="E37" s="6" t="s">
        <v>60</v>
      </c>
      <c r="F37" s="3">
        <v>8.2500000000000004E-2</v>
      </c>
    </row>
    <row r="38" spans="1:6" x14ac:dyDescent="0.3">
      <c r="A38" s="4" t="s">
        <v>150</v>
      </c>
      <c r="B38" s="3">
        <v>522</v>
      </c>
      <c r="C38" s="3">
        <v>285</v>
      </c>
      <c r="D38" s="3">
        <v>22</v>
      </c>
      <c r="E38" s="4" t="s">
        <v>63</v>
      </c>
      <c r="F38" s="3">
        <v>8.3253588516746413E-2</v>
      </c>
    </row>
    <row r="39" spans="1:6" x14ac:dyDescent="0.3">
      <c r="A39" s="6" t="s">
        <v>149</v>
      </c>
      <c r="B39" s="3">
        <v>464</v>
      </c>
      <c r="C39" s="3">
        <v>260</v>
      </c>
      <c r="D39" s="3">
        <v>21</v>
      </c>
      <c r="E39" s="6" t="s">
        <v>63</v>
      </c>
      <c r="F39" s="3">
        <v>8.4981684981684985E-2</v>
      </c>
    </row>
    <row r="40" spans="1:6" x14ac:dyDescent="0.3">
      <c r="A40" s="4" t="s">
        <v>107</v>
      </c>
      <c r="B40" s="3">
        <v>150</v>
      </c>
      <c r="C40" s="3">
        <v>133</v>
      </c>
      <c r="D40" s="3">
        <v>13</v>
      </c>
      <c r="E40" s="4" t="s">
        <v>60</v>
      </c>
      <c r="F40" s="3">
        <v>8.6755349913244656E-2</v>
      </c>
    </row>
    <row r="41" spans="1:6" x14ac:dyDescent="0.3">
      <c r="A41" s="6" t="s">
        <v>112</v>
      </c>
      <c r="B41" s="3">
        <v>172</v>
      </c>
      <c r="C41" s="3">
        <v>140</v>
      </c>
      <c r="D41" s="3">
        <v>14</v>
      </c>
      <c r="E41" s="6" t="s">
        <v>60</v>
      </c>
      <c r="F41" s="3">
        <v>8.7755102040816324E-2</v>
      </c>
    </row>
    <row r="42" spans="1:6" x14ac:dyDescent="0.3">
      <c r="A42" s="4" t="s">
        <v>118</v>
      </c>
      <c r="B42" s="3">
        <v>181</v>
      </c>
      <c r="C42" s="3">
        <v>133</v>
      </c>
      <c r="D42" s="3">
        <v>15</v>
      </c>
      <c r="E42" s="4" t="s">
        <v>60</v>
      </c>
      <c r="F42" s="3">
        <v>9.0726817042606517E-2</v>
      </c>
    </row>
    <row r="43" spans="1:6" x14ac:dyDescent="0.3">
      <c r="A43" s="6" t="s">
        <v>139</v>
      </c>
      <c r="B43" s="3">
        <v>450</v>
      </c>
      <c r="C43" s="3">
        <v>260</v>
      </c>
      <c r="D43" s="3">
        <v>19</v>
      </c>
      <c r="E43" s="6" t="s">
        <v>63</v>
      </c>
      <c r="F43" s="3">
        <v>9.1093117408906882E-2</v>
      </c>
    </row>
    <row r="44" spans="1:6" x14ac:dyDescent="0.3">
      <c r="A44" s="4" t="s">
        <v>123</v>
      </c>
      <c r="B44" s="3">
        <v>271</v>
      </c>
      <c r="C44" s="3">
        <v>185</v>
      </c>
      <c r="D44" s="3">
        <v>16</v>
      </c>
      <c r="E44" s="4" t="s">
        <v>65</v>
      </c>
      <c r="F44" s="3">
        <v>9.1554054054054049E-2</v>
      </c>
    </row>
    <row r="45" spans="1:6" x14ac:dyDescent="0.3">
      <c r="A45" s="6" t="s">
        <v>105</v>
      </c>
      <c r="B45" s="3">
        <v>161</v>
      </c>
      <c r="C45" s="3">
        <v>134</v>
      </c>
      <c r="D45" s="3">
        <v>13</v>
      </c>
      <c r="E45" s="6" t="s">
        <v>60</v>
      </c>
      <c r="F45" s="3">
        <v>9.2422502870264059E-2</v>
      </c>
    </row>
    <row r="46" spans="1:6" x14ac:dyDescent="0.3">
      <c r="A46" s="4" t="s">
        <v>144</v>
      </c>
      <c r="B46" s="3">
        <v>465</v>
      </c>
      <c r="C46" s="3">
        <v>254</v>
      </c>
      <c r="D46" s="3">
        <v>19</v>
      </c>
      <c r="E46" s="4" t="s">
        <v>63</v>
      </c>
      <c r="F46" s="3">
        <v>9.6353087443016988E-2</v>
      </c>
    </row>
    <row r="47" spans="1:6" x14ac:dyDescent="0.3">
      <c r="A47" s="6" t="s">
        <v>108</v>
      </c>
      <c r="B47" s="3">
        <v>273</v>
      </c>
      <c r="C47" s="3">
        <v>197</v>
      </c>
      <c r="D47" s="3">
        <v>14</v>
      </c>
      <c r="E47" s="6" t="s">
        <v>65</v>
      </c>
      <c r="F47" s="3">
        <v>9.8984771573604066E-2</v>
      </c>
    </row>
    <row r="48" spans="1:6" x14ac:dyDescent="0.3">
      <c r="A48" s="4" t="s">
        <v>135</v>
      </c>
      <c r="B48" s="3">
        <v>499</v>
      </c>
      <c r="C48" s="3">
        <v>268</v>
      </c>
      <c r="D48" s="3">
        <v>18</v>
      </c>
      <c r="E48" s="4" t="s">
        <v>63</v>
      </c>
      <c r="F48" s="3">
        <v>0.103441127694859</v>
      </c>
    </row>
    <row r="49" spans="1:6" x14ac:dyDescent="0.3">
      <c r="A49" s="6" t="s">
        <v>104</v>
      </c>
      <c r="B49" s="3">
        <v>258</v>
      </c>
      <c r="C49" s="3">
        <v>189</v>
      </c>
      <c r="D49" s="3">
        <v>13</v>
      </c>
      <c r="E49" s="6" t="s">
        <v>65</v>
      </c>
      <c r="F49" s="3">
        <v>0.10500610500610499</v>
      </c>
    </row>
    <row r="50" spans="1:6" x14ac:dyDescent="0.3">
      <c r="A50" s="4" t="s">
        <v>115</v>
      </c>
      <c r="B50" s="3">
        <v>467</v>
      </c>
      <c r="C50" s="3">
        <v>261</v>
      </c>
      <c r="D50" s="3">
        <v>16</v>
      </c>
      <c r="E50" s="4" t="s">
        <v>63</v>
      </c>
      <c r="F50" s="3">
        <v>0.1118295019157088</v>
      </c>
    </row>
    <row r="51" spans="1:6" x14ac:dyDescent="0.3">
      <c r="A51" s="6" t="s">
        <v>119</v>
      </c>
      <c r="B51" s="3">
        <v>441</v>
      </c>
      <c r="C51" s="3">
        <v>244</v>
      </c>
      <c r="D51" s="3">
        <v>16</v>
      </c>
      <c r="E51" s="6" t="s">
        <v>63</v>
      </c>
      <c r="F51" s="3">
        <v>0.1129610655737705</v>
      </c>
    </row>
    <row r="52" spans="1:6" x14ac:dyDescent="0.3">
      <c r="A52" s="4" t="s">
        <v>120</v>
      </c>
      <c r="B52" s="3">
        <v>504</v>
      </c>
      <c r="C52" s="3">
        <v>278</v>
      </c>
      <c r="D52" s="3">
        <v>16</v>
      </c>
      <c r="E52" s="4" t="s">
        <v>63</v>
      </c>
      <c r="F52" s="3">
        <v>0.1133093525179856</v>
      </c>
    </row>
    <row r="53" spans="1:6" x14ac:dyDescent="0.3">
      <c r="A53" s="6" t="s">
        <v>110</v>
      </c>
      <c r="B53" s="3">
        <v>498</v>
      </c>
      <c r="C53" s="3">
        <v>282</v>
      </c>
      <c r="D53" s="3">
        <v>15</v>
      </c>
      <c r="E53" s="6" t="s">
        <v>63</v>
      </c>
      <c r="F53" s="3">
        <v>0.1177304964539007</v>
      </c>
    </row>
    <row r="54" spans="1:6" x14ac:dyDescent="0.3">
      <c r="A54" s="4" t="s">
        <v>91</v>
      </c>
      <c r="B54" s="3">
        <v>158</v>
      </c>
      <c r="C54" s="3">
        <v>126</v>
      </c>
      <c r="D54" s="3">
        <v>10</v>
      </c>
      <c r="E54" s="4" t="s">
        <v>60</v>
      </c>
      <c r="F54" s="3">
        <v>0.1253968253968254</v>
      </c>
    </row>
    <row r="55" spans="1:6" x14ac:dyDescent="0.3">
      <c r="A55" s="6" t="s">
        <v>94</v>
      </c>
      <c r="B55" s="3">
        <v>259</v>
      </c>
      <c r="C55" s="3">
        <v>187</v>
      </c>
      <c r="D55" s="3">
        <v>11</v>
      </c>
      <c r="E55" s="6" t="s">
        <v>65</v>
      </c>
      <c r="F55" s="3">
        <v>0.12591152163344679</v>
      </c>
    </row>
    <row r="56" spans="1:6" x14ac:dyDescent="0.3">
      <c r="A56" s="4" t="s">
        <v>90</v>
      </c>
      <c r="B56" s="3">
        <v>254</v>
      </c>
      <c r="C56" s="3">
        <v>183</v>
      </c>
      <c r="D56" s="3">
        <v>10</v>
      </c>
      <c r="E56" s="4" t="s">
        <v>65</v>
      </c>
      <c r="F56" s="3">
        <v>0.13879781420765031</v>
      </c>
    </row>
    <row r="57" spans="1:6" x14ac:dyDescent="0.3">
      <c r="A57" s="6" t="s">
        <v>97</v>
      </c>
      <c r="B57" s="3">
        <v>442</v>
      </c>
      <c r="C57" s="3">
        <v>253</v>
      </c>
      <c r="D57" s="3">
        <v>12</v>
      </c>
      <c r="E57" s="6" t="s">
        <v>63</v>
      </c>
      <c r="F57" s="3">
        <v>0.14558629776021079</v>
      </c>
    </row>
    <row r="58" spans="1:6" x14ac:dyDescent="0.3">
      <c r="A58" s="4" t="s">
        <v>84</v>
      </c>
      <c r="B58" s="3">
        <v>277</v>
      </c>
      <c r="C58" s="3">
        <v>206</v>
      </c>
      <c r="D58" s="3">
        <v>9</v>
      </c>
      <c r="E58" s="4" t="s">
        <v>65</v>
      </c>
      <c r="F58" s="3">
        <v>0.14940668824163969</v>
      </c>
    </row>
    <row r="59" spans="1:6" x14ac:dyDescent="0.3">
      <c r="A59" s="6" t="s">
        <v>83</v>
      </c>
      <c r="B59" s="3">
        <v>258</v>
      </c>
      <c r="C59" s="3">
        <v>189</v>
      </c>
      <c r="D59" s="3">
        <v>9</v>
      </c>
      <c r="E59" s="6" t="s">
        <v>65</v>
      </c>
      <c r="F59" s="3">
        <v>0.15167548500881831</v>
      </c>
    </row>
    <row r="60" spans="1:6" x14ac:dyDescent="0.3">
      <c r="A60" s="4" t="s">
        <v>72</v>
      </c>
      <c r="B60" s="3">
        <v>139</v>
      </c>
      <c r="C60" s="3">
        <v>120</v>
      </c>
      <c r="D60" s="3">
        <v>7</v>
      </c>
      <c r="E60" s="4" t="s">
        <v>60</v>
      </c>
      <c r="F60" s="3">
        <v>0.1654761904761905</v>
      </c>
    </row>
    <row r="61" spans="1:6" x14ac:dyDescent="0.3">
      <c r="A61" s="6" t="s">
        <v>73</v>
      </c>
      <c r="B61" s="3">
        <v>130</v>
      </c>
      <c r="C61" s="3">
        <v>112</v>
      </c>
      <c r="D61" s="3">
        <v>7</v>
      </c>
      <c r="E61" s="6" t="s">
        <v>60</v>
      </c>
      <c r="F61" s="3">
        <v>0.16581632653061221</v>
      </c>
    </row>
    <row r="62" spans="1:6" x14ac:dyDescent="0.3">
      <c r="A62" s="4" t="s">
        <v>82</v>
      </c>
      <c r="B62" s="3">
        <v>272</v>
      </c>
      <c r="C62" s="3">
        <v>182</v>
      </c>
      <c r="D62" s="3">
        <v>9</v>
      </c>
      <c r="E62" s="4" t="s">
        <v>65</v>
      </c>
      <c r="F62" s="3">
        <v>0.16605616605616599</v>
      </c>
    </row>
    <row r="63" spans="1:6" x14ac:dyDescent="0.3">
      <c r="A63" s="6" t="s">
        <v>147</v>
      </c>
      <c r="B63" s="3">
        <v>1848</v>
      </c>
      <c r="C63" s="3">
        <v>361</v>
      </c>
      <c r="D63" s="3">
        <v>29</v>
      </c>
      <c r="E63" s="6" t="s">
        <v>56</v>
      </c>
      <c r="F63" s="3">
        <v>0.17652115770369661</v>
      </c>
    </row>
    <row r="64" spans="1:6" x14ac:dyDescent="0.3">
      <c r="A64" s="4" t="s">
        <v>81</v>
      </c>
      <c r="B64" s="3">
        <v>399</v>
      </c>
      <c r="C64" s="3">
        <v>251</v>
      </c>
      <c r="D64" s="3">
        <v>9</v>
      </c>
      <c r="E64" s="4" t="s">
        <v>63</v>
      </c>
      <c r="F64" s="3">
        <v>0.1766268260292165</v>
      </c>
    </row>
    <row r="65" spans="1:6" x14ac:dyDescent="0.3">
      <c r="A65" s="6" t="s">
        <v>77</v>
      </c>
      <c r="B65" s="3">
        <v>260</v>
      </c>
      <c r="C65" s="3">
        <v>183</v>
      </c>
      <c r="D65" s="3">
        <v>8</v>
      </c>
      <c r="E65" s="6" t="s">
        <v>65</v>
      </c>
      <c r="F65" s="3">
        <v>0.17759562841530049</v>
      </c>
    </row>
    <row r="66" spans="1:6" x14ac:dyDescent="0.3">
      <c r="A66" s="4" t="s">
        <v>88</v>
      </c>
      <c r="B66" s="3">
        <v>446</v>
      </c>
      <c r="C66" s="3">
        <v>251</v>
      </c>
      <c r="D66" s="3">
        <v>10</v>
      </c>
      <c r="E66" s="4" t="s">
        <v>63</v>
      </c>
      <c r="F66" s="3">
        <v>0.17768924302788841</v>
      </c>
    </row>
    <row r="67" spans="1:6" x14ac:dyDescent="0.3">
      <c r="A67" s="6" t="s">
        <v>146</v>
      </c>
      <c r="B67" s="3">
        <v>1818</v>
      </c>
      <c r="C67" s="3">
        <v>363</v>
      </c>
      <c r="D67" s="3">
        <v>28</v>
      </c>
      <c r="E67" s="6" t="s">
        <v>56</v>
      </c>
      <c r="F67" s="3">
        <v>0.17886658795749699</v>
      </c>
    </row>
    <row r="68" spans="1:6" x14ac:dyDescent="0.3">
      <c r="A68" s="4" t="s">
        <v>71</v>
      </c>
      <c r="B68" s="3">
        <v>142</v>
      </c>
      <c r="C68" s="3">
        <v>112</v>
      </c>
      <c r="D68" s="3">
        <v>7</v>
      </c>
      <c r="E68" s="4" t="s">
        <v>60</v>
      </c>
      <c r="F68" s="3">
        <v>0.18112244897959179</v>
      </c>
    </row>
    <row r="69" spans="1:6" x14ac:dyDescent="0.3">
      <c r="A69" s="6" t="s">
        <v>145</v>
      </c>
      <c r="B69" s="3">
        <v>1849</v>
      </c>
      <c r="C69" s="3">
        <v>363</v>
      </c>
      <c r="D69" s="3">
        <v>28</v>
      </c>
      <c r="E69" s="6" t="s">
        <v>56</v>
      </c>
      <c r="F69" s="3">
        <v>0.18191656828020461</v>
      </c>
    </row>
    <row r="70" spans="1:6" x14ac:dyDescent="0.3">
      <c r="A70" s="4" t="s">
        <v>136</v>
      </c>
      <c r="B70" s="3">
        <v>1799</v>
      </c>
      <c r="C70" s="3">
        <v>362</v>
      </c>
      <c r="D70" s="3">
        <v>27</v>
      </c>
      <c r="E70" s="4" t="s">
        <v>56</v>
      </c>
      <c r="F70" s="3">
        <v>0.18405975035809291</v>
      </c>
    </row>
    <row r="71" spans="1:6" x14ac:dyDescent="0.3">
      <c r="A71" s="6" t="s">
        <v>140</v>
      </c>
      <c r="B71" s="3">
        <v>1879</v>
      </c>
      <c r="C71" s="3">
        <v>364</v>
      </c>
      <c r="D71" s="3">
        <v>28</v>
      </c>
      <c r="E71" s="6" t="s">
        <v>56</v>
      </c>
      <c r="F71" s="3">
        <v>0.1843602825745683</v>
      </c>
    </row>
    <row r="72" spans="1:6" x14ac:dyDescent="0.3">
      <c r="A72" s="4" t="s">
        <v>138</v>
      </c>
      <c r="B72" s="3">
        <v>1752</v>
      </c>
      <c r="C72" s="3">
        <v>363</v>
      </c>
      <c r="D72" s="3">
        <v>26</v>
      </c>
      <c r="E72" s="4" t="s">
        <v>56</v>
      </c>
      <c r="F72" s="3">
        <v>0.1856325492689129</v>
      </c>
    </row>
    <row r="73" spans="1:6" x14ac:dyDescent="0.3">
      <c r="A73" s="6" t="s">
        <v>142</v>
      </c>
      <c r="B73" s="3">
        <v>1868</v>
      </c>
      <c r="C73" s="3">
        <v>359</v>
      </c>
      <c r="D73" s="3">
        <v>28</v>
      </c>
      <c r="E73" s="6" t="s">
        <v>56</v>
      </c>
      <c r="F73" s="3">
        <v>0.18583366494230011</v>
      </c>
    </row>
    <row r="74" spans="1:6" x14ac:dyDescent="0.3">
      <c r="A74" s="4" t="s">
        <v>80</v>
      </c>
      <c r="B74" s="3">
        <v>438</v>
      </c>
      <c r="C74" s="3">
        <v>257</v>
      </c>
      <c r="D74" s="3">
        <v>9</v>
      </c>
      <c r="E74" s="4" t="s">
        <v>63</v>
      </c>
      <c r="F74" s="3">
        <v>0.18936446173800259</v>
      </c>
    </row>
    <row r="75" spans="1:6" x14ac:dyDescent="0.3">
      <c r="A75" s="6" t="s">
        <v>66</v>
      </c>
      <c r="B75" s="3">
        <v>119</v>
      </c>
      <c r="C75" s="3">
        <v>104</v>
      </c>
      <c r="D75" s="3">
        <v>6</v>
      </c>
      <c r="E75" s="6" t="s">
        <v>60</v>
      </c>
      <c r="F75" s="3">
        <v>0.19070512820512819</v>
      </c>
    </row>
    <row r="76" spans="1:6" x14ac:dyDescent="0.3">
      <c r="A76" s="4" t="s">
        <v>133</v>
      </c>
      <c r="B76" s="3">
        <v>1815</v>
      </c>
      <c r="C76" s="3">
        <v>361</v>
      </c>
      <c r="D76" s="3">
        <v>26</v>
      </c>
      <c r="E76" s="4" t="s">
        <v>56</v>
      </c>
      <c r="F76" s="3">
        <v>0.1933731088855743</v>
      </c>
    </row>
    <row r="77" spans="1:6" x14ac:dyDescent="0.3">
      <c r="A77" s="6" t="s">
        <v>128</v>
      </c>
      <c r="B77" s="3">
        <v>1814</v>
      </c>
      <c r="C77" s="3">
        <v>360</v>
      </c>
      <c r="D77" s="3">
        <v>26</v>
      </c>
      <c r="E77" s="6" t="s">
        <v>56</v>
      </c>
      <c r="F77" s="3">
        <v>0.19380341880341881</v>
      </c>
    </row>
    <row r="78" spans="1:6" x14ac:dyDescent="0.3">
      <c r="A78" s="4" t="s">
        <v>127</v>
      </c>
      <c r="B78" s="3">
        <v>1769</v>
      </c>
      <c r="C78" s="3">
        <v>362</v>
      </c>
      <c r="D78" s="3">
        <v>25</v>
      </c>
      <c r="E78" s="4" t="s">
        <v>56</v>
      </c>
      <c r="F78" s="3">
        <v>0.1954696132596685</v>
      </c>
    </row>
    <row r="79" spans="1:6" x14ac:dyDescent="0.3">
      <c r="A79" s="6" t="s">
        <v>129</v>
      </c>
      <c r="B79" s="3">
        <v>1847</v>
      </c>
      <c r="C79" s="3">
        <v>363</v>
      </c>
      <c r="D79" s="3">
        <v>26</v>
      </c>
      <c r="E79" s="6" t="s">
        <v>56</v>
      </c>
      <c r="F79" s="3">
        <v>0.19569824115278661</v>
      </c>
    </row>
    <row r="80" spans="1:6" x14ac:dyDescent="0.3">
      <c r="A80" s="4" t="s">
        <v>126</v>
      </c>
      <c r="B80" s="3">
        <v>1803</v>
      </c>
      <c r="C80" s="3">
        <v>364</v>
      </c>
      <c r="D80" s="3">
        <v>25</v>
      </c>
      <c r="E80" s="4" t="s">
        <v>56</v>
      </c>
      <c r="F80" s="3">
        <v>0.19813186813186809</v>
      </c>
    </row>
    <row r="81" spans="1:6" x14ac:dyDescent="0.3">
      <c r="A81" s="6" t="s">
        <v>125</v>
      </c>
      <c r="B81" s="3">
        <v>1818</v>
      </c>
      <c r="C81" s="3">
        <v>363</v>
      </c>
      <c r="D81" s="3">
        <v>25</v>
      </c>
      <c r="E81" s="6" t="s">
        <v>56</v>
      </c>
      <c r="F81" s="3">
        <v>0.20033057851239669</v>
      </c>
    </row>
    <row r="82" spans="1:6" x14ac:dyDescent="0.3">
      <c r="A82" s="4" t="s">
        <v>124</v>
      </c>
      <c r="B82" s="3">
        <v>1814</v>
      </c>
      <c r="C82" s="3">
        <v>360</v>
      </c>
      <c r="D82" s="3">
        <v>25</v>
      </c>
      <c r="E82" s="4" t="s">
        <v>56</v>
      </c>
      <c r="F82" s="3">
        <v>0.20155555555555549</v>
      </c>
    </row>
    <row r="83" spans="1:6" x14ac:dyDescent="0.3">
      <c r="A83" s="6" t="s">
        <v>122</v>
      </c>
      <c r="B83" s="3">
        <v>1858</v>
      </c>
      <c r="C83" s="3">
        <v>363</v>
      </c>
      <c r="D83" s="3">
        <v>25</v>
      </c>
      <c r="E83" s="6" t="s">
        <v>56</v>
      </c>
      <c r="F83" s="3">
        <v>0.20473829201101931</v>
      </c>
    </row>
    <row r="84" spans="1:6" x14ac:dyDescent="0.3">
      <c r="A84" s="4" t="s">
        <v>75</v>
      </c>
      <c r="B84" s="3">
        <v>438</v>
      </c>
      <c r="C84" s="3">
        <v>263</v>
      </c>
      <c r="D84" s="3">
        <v>8</v>
      </c>
      <c r="E84" s="4" t="s">
        <v>63</v>
      </c>
      <c r="F84" s="3">
        <v>0.20817490494296581</v>
      </c>
    </row>
    <row r="85" spans="1:6" x14ac:dyDescent="0.3">
      <c r="A85" s="6" t="s">
        <v>121</v>
      </c>
      <c r="B85" s="3">
        <v>1819</v>
      </c>
      <c r="C85" s="3">
        <v>359</v>
      </c>
      <c r="D85" s="3">
        <v>24</v>
      </c>
      <c r="E85" s="6" t="s">
        <v>56</v>
      </c>
      <c r="F85" s="3">
        <v>0.21111884865366759</v>
      </c>
    </row>
    <row r="86" spans="1:6" x14ac:dyDescent="0.3">
      <c r="A86" s="4" t="s">
        <v>114</v>
      </c>
      <c r="B86" s="3">
        <v>1771</v>
      </c>
      <c r="C86" s="3">
        <v>364</v>
      </c>
      <c r="D86" s="3">
        <v>23</v>
      </c>
      <c r="E86" s="4" t="s">
        <v>56</v>
      </c>
      <c r="F86" s="3">
        <v>0.21153846153846151</v>
      </c>
    </row>
    <row r="87" spans="1:6" x14ac:dyDescent="0.3">
      <c r="A87" s="6" t="s">
        <v>117</v>
      </c>
      <c r="B87" s="3">
        <v>1783</v>
      </c>
      <c r="C87" s="3">
        <v>362</v>
      </c>
      <c r="D87" s="3">
        <v>23</v>
      </c>
      <c r="E87" s="6" t="s">
        <v>56</v>
      </c>
      <c r="F87" s="3">
        <v>0.21414845063656021</v>
      </c>
    </row>
    <row r="88" spans="1:6" x14ac:dyDescent="0.3">
      <c r="A88" s="4" t="s">
        <v>116</v>
      </c>
      <c r="B88" s="3">
        <v>1794</v>
      </c>
      <c r="C88" s="3">
        <v>363</v>
      </c>
      <c r="D88" s="3">
        <v>23</v>
      </c>
      <c r="E88" s="4" t="s">
        <v>56</v>
      </c>
      <c r="F88" s="3">
        <v>0.21487603305785119</v>
      </c>
    </row>
    <row r="89" spans="1:6" x14ac:dyDescent="0.3">
      <c r="A89" s="6" t="s">
        <v>113</v>
      </c>
      <c r="B89" s="3">
        <v>1808</v>
      </c>
      <c r="C89" s="3">
        <v>364</v>
      </c>
      <c r="D89" s="3">
        <v>23</v>
      </c>
      <c r="E89" s="6" t="s">
        <v>56</v>
      </c>
      <c r="F89" s="3">
        <v>0.21595795508838991</v>
      </c>
    </row>
    <row r="90" spans="1:6" x14ac:dyDescent="0.3">
      <c r="A90" s="4" t="s">
        <v>76</v>
      </c>
      <c r="B90" s="3">
        <v>453</v>
      </c>
      <c r="C90" s="3">
        <v>255</v>
      </c>
      <c r="D90" s="3">
        <v>8</v>
      </c>
      <c r="E90" s="4" t="s">
        <v>63</v>
      </c>
      <c r="F90" s="3">
        <v>0.22205882352941181</v>
      </c>
    </row>
    <row r="91" spans="1:6" x14ac:dyDescent="0.3">
      <c r="A91" s="6" t="s">
        <v>64</v>
      </c>
      <c r="B91" s="3">
        <v>263</v>
      </c>
      <c r="C91" s="3">
        <v>193</v>
      </c>
      <c r="D91" s="3">
        <v>6</v>
      </c>
      <c r="E91" s="6" t="s">
        <v>65</v>
      </c>
      <c r="F91" s="3">
        <v>0.22711571675302239</v>
      </c>
    </row>
    <row r="92" spans="1:6" x14ac:dyDescent="0.3">
      <c r="A92" s="4" t="s">
        <v>111</v>
      </c>
      <c r="B92" s="3">
        <v>1821</v>
      </c>
      <c r="C92" s="3">
        <v>362</v>
      </c>
      <c r="D92" s="3">
        <v>22</v>
      </c>
      <c r="E92" s="4" t="s">
        <v>56</v>
      </c>
      <c r="F92" s="3">
        <v>0.22865394274234049</v>
      </c>
    </row>
    <row r="93" spans="1:6" x14ac:dyDescent="0.3">
      <c r="A93" s="6" t="s">
        <v>109</v>
      </c>
      <c r="B93" s="3">
        <v>1846</v>
      </c>
      <c r="C93" s="3">
        <v>362</v>
      </c>
      <c r="D93" s="3">
        <v>22</v>
      </c>
      <c r="E93" s="6" t="s">
        <v>56</v>
      </c>
      <c r="F93" s="3">
        <v>0.2317930688096434</v>
      </c>
    </row>
    <row r="94" spans="1:6" x14ac:dyDescent="0.3">
      <c r="A94" s="4" t="s">
        <v>67</v>
      </c>
      <c r="B94" s="3">
        <v>429</v>
      </c>
      <c r="C94" s="3">
        <v>263</v>
      </c>
      <c r="D94" s="3">
        <v>7</v>
      </c>
      <c r="E94" s="4" t="s">
        <v>63</v>
      </c>
      <c r="F94" s="3">
        <v>0.23302552960347639</v>
      </c>
    </row>
    <row r="95" spans="1:6" x14ac:dyDescent="0.3">
      <c r="A95" s="6" t="s">
        <v>70</v>
      </c>
      <c r="B95" s="3">
        <v>414</v>
      </c>
      <c r="C95" s="3">
        <v>253</v>
      </c>
      <c r="D95" s="3">
        <v>7</v>
      </c>
      <c r="E95" s="6" t="s">
        <v>63</v>
      </c>
      <c r="F95" s="3">
        <v>0.23376623376623379</v>
      </c>
    </row>
    <row r="96" spans="1:6" x14ac:dyDescent="0.3">
      <c r="A96" s="4" t="s">
        <v>106</v>
      </c>
      <c r="B96" s="3">
        <v>1807</v>
      </c>
      <c r="C96" s="3">
        <v>363</v>
      </c>
      <c r="D96" s="3">
        <v>21</v>
      </c>
      <c r="E96" s="4" t="s">
        <v>56</v>
      </c>
      <c r="F96" s="3">
        <v>0.23704578250032801</v>
      </c>
    </row>
    <row r="97" spans="1:6" x14ac:dyDescent="0.3">
      <c r="A97" s="6" t="s">
        <v>59</v>
      </c>
      <c r="B97" s="3">
        <v>132</v>
      </c>
      <c r="C97" s="3">
        <v>108</v>
      </c>
      <c r="D97" s="3">
        <v>5</v>
      </c>
      <c r="E97" s="6" t="s">
        <v>60</v>
      </c>
      <c r="F97" s="3">
        <v>0.24444444444444441</v>
      </c>
    </row>
    <row r="98" spans="1:6" x14ac:dyDescent="0.3">
      <c r="A98" s="4" t="s">
        <v>103</v>
      </c>
      <c r="B98" s="3">
        <v>1722</v>
      </c>
      <c r="C98" s="3">
        <v>363</v>
      </c>
      <c r="D98" s="3">
        <v>19</v>
      </c>
      <c r="E98" s="4" t="s">
        <v>56</v>
      </c>
      <c r="F98" s="3">
        <v>0.24967377120487169</v>
      </c>
    </row>
    <row r="99" spans="1:6" x14ac:dyDescent="0.3">
      <c r="A99" s="6" t="s">
        <v>99</v>
      </c>
      <c r="B99" s="3">
        <v>1642</v>
      </c>
      <c r="C99" s="3">
        <v>361</v>
      </c>
      <c r="D99" s="3">
        <v>18</v>
      </c>
      <c r="E99" s="6" t="s">
        <v>56</v>
      </c>
      <c r="F99" s="3">
        <v>0.25269313634964602</v>
      </c>
    </row>
    <row r="100" spans="1:6" x14ac:dyDescent="0.3">
      <c r="A100" s="4" t="s">
        <v>100</v>
      </c>
      <c r="B100" s="3">
        <v>1663</v>
      </c>
      <c r="C100" s="3">
        <v>363</v>
      </c>
      <c r="D100" s="3">
        <v>18</v>
      </c>
      <c r="E100" s="4" t="s">
        <v>56</v>
      </c>
      <c r="F100" s="3">
        <v>0.25451484542393632</v>
      </c>
    </row>
    <row r="101" spans="1:6" x14ac:dyDescent="0.3">
      <c r="A101" s="6" t="s">
        <v>102</v>
      </c>
      <c r="B101" s="3">
        <v>1746</v>
      </c>
      <c r="C101" s="3">
        <v>361</v>
      </c>
      <c r="D101" s="3">
        <v>19</v>
      </c>
      <c r="E101" s="6" t="s">
        <v>56</v>
      </c>
      <c r="F101" s="3">
        <v>0.25455605773436363</v>
      </c>
    </row>
    <row r="102" spans="1:6" x14ac:dyDescent="0.3">
      <c r="A102" s="4" t="s">
        <v>101</v>
      </c>
      <c r="B102" s="3">
        <v>1757</v>
      </c>
      <c r="C102" s="3">
        <v>360</v>
      </c>
      <c r="D102" s="3">
        <v>19</v>
      </c>
      <c r="E102" s="4" t="s">
        <v>56</v>
      </c>
      <c r="F102" s="3">
        <v>0.25687134502923981</v>
      </c>
    </row>
    <row r="103" spans="1:6" x14ac:dyDescent="0.3">
      <c r="A103" s="6" t="s">
        <v>98</v>
      </c>
      <c r="B103" s="3">
        <v>1630</v>
      </c>
      <c r="C103" s="3">
        <v>361</v>
      </c>
      <c r="D103" s="3">
        <v>17</v>
      </c>
      <c r="E103" s="6" t="s">
        <v>56</v>
      </c>
      <c r="F103" s="3">
        <v>0.26560208570963012</v>
      </c>
    </row>
    <row r="104" spans="1:6" x14ac:dyDescent="0.3">
      <c r="A104" s="4" t="s">
        <v>95</v>
      </c>
      <c r="B104" s="3">
        <v>1669</v>
      </c>
      <c r="C104" s="3">
        <v>359</v>
      </c>
      <c r="D104" s="3">
        <v>17</v>
      </c>
      <c r="E104" s="4" t="s">
        <v>56</v>
      </c>
      <c r="F104" s="3">
        <v>0.27347206291987552</v>
      </c>
    </row>
    <row r="105" spans="1:6" x14ac:dyDescent="0.3">
      <c r="A105" s="6" t="s">
        <v>96</v>
      </c>
      <c r="B105" s="3">
        <v>1817</v>
      </c>
      <c r="C105" s="3">
        <v>359</v>
      </c>
      <c r="D105" s="3">
        <v>18</v>
      </c>
      <c r="E105" s="6" t="s">
        <v>56</v>
      </c>
      <c r="F105" s="3">
        <v>0.28118229650263082</v>
      </c>
    </row>
    <row r="106" spans="1:6" x14ac:dyDescent="0.3">
      <c r="A106" s="4" t="s">
        <v>62</v>
      </c>
      <c r="B106" s="3">
        <v>408</v>
      </c>
      <c r="C106" s="3">
        <v>235</v>
      </c>
      <c r="D106" s="3">
        <v>6</v>
      </c>
      <c r="E106" s="4" t="s">
        <v>63</v>
      </c>
      <c r="F106" s="3">
        <v>0.28936170212765949</v>
      </c>
    </row>
    <row r="107" spans="1:6" x14ac:dyDescent="0.3">
      <c r="A107" s="6" t="s">
        <v>93</v>
      </c>
      <c r="B107" s="3">
        <v>1795</v>
      </c>
      <c r="C107" s="3">
        <v>364</v>
      </c>
      <c r="D107" s="3">
        <v>17</v>
      </c>
      <c r="E107" s="6" t="s">
        <v>56</v>
      </c>
      <c r="F107" s="3">
        <v>0.29007756948933422</v>
      </c>
    </row>
    <row r="108" spans="1:6" x14ac:dyDescent="0.3">
      <c r="A108" s="4" t="s">
        <v>92</v>
      </c>
      <c r="B108" s="3">
        <v>1743</v>
      </c>
      <c r="C108" s="3">
        <v>365</v>
      </c>
      <c r="D108" s="3">
        <v>16</v>
      </c>
      <c r="E108" s="4" t="s">
        <v>56</v>
      </c>
      <c r="F108" s="3">
        <v>0.29845890410958897</v>
      </c>
    </row>
    <row r="109" spans="1:6" x14ac:dyDescent="0.3">
      <c r="A109" s="6" t="s">
        <v>89</v>
      </c>
      <c r="B109" s="3">
        <v>1747</v>
      </c>
      <c r="C109" s="3">
        <v>365</v>
      </c>
      <c r="D109" s="3">
        <v>15</v>
      </c>
      <c r="E109" s="6" t="s">
        <v>56</v>
      </c>
      <c r="F109" s="3">
        <v>0.31908675799086761</v>
      </c>
    </row>
    <row r="110" spans="1:6" x14ac:dyDescent="0.3">
      <c r="A110" s="4" t="s">
        <v>87</v>
      </c>
      <c r="B110" s="3">
        <v>1649</v>
      </c>
      <c r="C110" s="3">
        <v>360</v>
      </c>
      <c r="D110" s="3">
        <v>14</v>
      </c>
      <c r="E110" s="4" t="s">
        <v>56</v>
      </c>
      <c r="F110" s="3">
        <v>0.32718253968253969</v>
      </c>
    </row>
    <row r="111" spans="1:6" x14ac:dyDescent="0.3">
      <c r="A111" s="6" t="s">
        <v>86</v>
      </c>
      <c r="B111" s="3">
        <v>1715</v>
      </c>
      <c r="C111" s="3">
        <v>362</v>
      </c>
      <c r="D111" s="3">
        <v>14</v>
      </c>
      <c r="E111" s="6" t="s">
        <v>56</v>
      </c>
      <c r="F111" s="3">
        <v>0.33839779005524862</v>
      </c>
    </row>
    <row r="112" spans="1:6" x14ac:dyDescent="0.3">
      <c r="A112" s="4" t="s">
        <v>85</v>
      </c>
      <c r="B112" s="3">
        <v>1713</v>
      </c>
      <c r="C112" s="3">
        <v>361</v>
      </c>
      <c r="D112" s="3">
        <v>14</v>
      </c>
      <c r="E112" s="4" t="s">
        <v>56</v>
      </c>
      <c r="F112" s="3">
        <v>0.33893945389790259</v>
      </c>
    </row>
    <row r="113" spans="1:6" x14ac:dyDescent="0.3">
      <c r="A113" s="6" t="s">
        <v>79</v>
      </c>
      <c r="B113" s="3">
        <v>1563</v>
      </c>
      <c r="C113" s="3">
        <v>357</v>
      </c>
      <c r="D113" s="3">
        <v>12</v>
      </c>
      <c r="E113" s="6" t="s">
        <v>56</v>
      </c>
      <c r="F113" s="3">
        <v>0.36484593837535012</v>
      </c>
    </row>
    <row r="114" spans="1:6" x14ac:dyDescent="0.3">
      <c r="A114" s="4" t="s">
        <v>78</v>
      </c>
      <c r="B114" s="3">
        <v>1675</v>
      </c>
      <c r="C114" s="3">
        <v>365</v>
      </c>
      <c r="D114" s="3">
        <v>12</v>
      </c>
      <c r="E114" s="4" t="s">
        <v>56</v>
      </c>
      <c r="F114" s="3">
        <v>0.38242009132420091</v>
      </c>
    </row>
    <row r="115" spans="1:6" x14ac:dyDescent="0.3">
      <c r="A115" s="6" t="s">
        <v>74</v>
      </c>
      <c r="B115" s="3">
        <v>1658</v>
      </c>
      <c r="C115" s="3">
        <v>362</v>
      </c>
      <c r="D115" s="3">
        <v>11</v>
      </c>
      <c r="E115" s="6" t="s">
        <v>56</v>
      </c>
      <c r="F115" s="3">
        <v>0.41637368156705168</v>
      </c>
    </row>
    <row r="116" spans="1:6" x14ac:dyDescent="0.3">
      <c r="A116" s="4" t="s">
        <v>68</v>
      </c>
      <c r="B116" s="3">
        <v>1594</v>
      </c>
      <c r="C116" s="3">
        <v>363</v>
      </c>
      <c r="D116" s="3">
        <v>10</v>
      </c>
      <c r="E116" s="4" t="s">
        <v>56</v>
      </c>
      <c r="F116" s="3">
        <v>0.43911845730027549</v>
      </c>
    </row>
    <row r="117" spans="1:6" x14ac:dyDescent="0.3">
      <c r="A117" s="6" t="s">
        <v>69</v>
      </c>
      <c r="B117" s="3">
        <v>1585</v>
      </c>
      <c r="C117" s="3">
        <v>358</v>
      </c>
      <c r="D117" s="3">
        <v>10</v>
      </c>
      <c r="E117" s="6" t="s">
        <v>56</v>
      </c>
      <c r="F117" s="3">
        <v>0.44273743016759781</v>
      </c>
    </row>
    <row r="118" spans="1:6" x14ac:dyDescent="0.3">
      <c r="A118" s="4" t="s">
        <v>61</v>
      </c>
      <c r="B118" s="3">
        <v>1577</v>
      </c>
      <c r="C118" s="3">
        <v>357</v>
      </c>
      <c r="D118" s="3">
        <v>8</v>
      </c>
      <c r="E118" s="4" t="s">
        <v>56</v>
      </c>
      <c r="F118" s="3">
        <v>0.55217086834733897</v>
      </c>
    </row>
    <row r="119" spans="1:6" x14ac:dyDescent="0.3">
      <c r="A119" s="6" t="s">
        <v>58</v>
      </c>
      <c r="B119" s="3">
        <v>1518</v>
      </c>
      <c r="C119" s="3">
        <v>357</v>
      </c>
      <c r="D119" s="3">
        <v>7</v>
      </c>
      <c r="E119" s="6" t="s">
        <v>56</v>
      </c>
      <c r="F119" s="3">
        <v>0.60744297719087637</v>
      </c>
    </row>
    <row r="120" spans="1:6" x14ac:dyDescent="0.3">
      <c r="A120" s="4" t="s">
        <v>57</v>
      </c>
      <c r="B120" s="3">
        <v>1388</v>
      </c>
      <c r="C120" s="3">
        <v>356</v>
      </c>
      <c r="D120" s="3">
        <v>6</v>
      </c>
      <c r="E120" s="4" t="s">
        <v>56</v>
      </c>
      <c r="F120" s="3">
        <v>0.64981273408239704</v>
      </c>
    </row>
    <row r="121" spans="1:6" x14ac:dyDescent="0.3">
      <c r="A121" s="6" t="s">
        <v>8</v>
      </c>
      <c r="B121" s="3">
        <v>1417</v>
      </c>
      <c r="C121" s="3">
        <v>357</v>
      </c>
      <c r="D121" s="3">
        <v>5</v>
      </c>
      <c r="E121" s="6" t="s">
        <v>56</v>
      </c>
      <c r="F121" s="3">
        <v>0.79383753501400556</v>
      </c>
    </row>
  </sheetData>
  <autoFilter ref="A1:F121" xr:uid="{00000000-0009-0000-0000-000003000000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.6640625" customWidth="1"/>
    <col min="3" max="3" width="19.6640625" customWidth="1"/>
    <col min="4" max="4" width="18.6640625" customWidth="1"/>
  </cols>
  <sheetData>
    <row r="1" spans="1:4" ht="24" customHeight="1" x14ac:dyDescent="0.3">
      <c r="A1" s="1" t="s">
        <v>182</v>
      </c>
      <c r="B1" s="1" t="s">
        <v>183</v>
      </c>
      <c r="C1" s="1" t="s">
        <v>184</v>
      </c>
      <c r="D1" s="1" t="s">
        <v>53</v>
      </c>
    </row>
    <row r="2" spans="1:4" x14ac:dyDescent="0.3">
      <c r="A2" s="4" t="b">
        <v>0</v>
      </c>
      <c r="B2" s="3">
        <v>87570</v>
      </c>
      <c r="C2" s="3">
        <v>149.14923261390891</v>
      </c>
      <c r="D2" s="3">
        <v>9.4722735613898799</v>
      </c>
    </row>
    <row r="3" spans="1:4" x14ac:dyDescent="0.3">
      <c r="A3" s="6" t="b">
        <v>1</v>
      </c>
      <c r="B3" s="3">
        <v>12280</v>
      </c>
      <c r="C3" s="3">
        <v>196.57065146579811</v>
      </c>
      <c r="D3" s="3">
        <v>10.1373088901789</v>
      </c>
    </row>
  </sheetData>
  <autoFilter ref="A1:D3" xr:uid="{00000000-0009-0000-0000-000004000000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.6640625" customWidth="1"/>
    <col min="3" max="4" width="19.6640625" customWidth="1"/>
  </cols>
  <sheetData>
    <row r="1" spans="1:4" ht="24" customHeight="1" x14ac:dyDescent="0.3">
      <c r="A1" s="1" t="s">
        <v>185</v>
      </c>
      <c r="B1" s="1" t="s">
        <v>183</v>
      </c>
      <c r="C1" s="1" t="s">
        <v>184</v>
      </c>
      <c r="D1" s="1" t="s">
        <v>53</v>
      </c>
    </row>
    <row r="2" spans="1:4" x14ac:dyDescent="0.3">
      <c r="A2" s="4" t="b">
        <v>0</v>
      </c>
      <c r="B2" s="3">
        <v>72394</v>
      </c>
      <c r="C2" s="3">
        <v>147.9967787385695</v>
      </c>
      <c r="D2" s="3">
        <v>9.4670370916751398</v>
      </c>
    </row>
    <row r="3" spans="1:4" x14ac:dyDescent="0.3">
      <c r="A3" s="6" t="b">
        <v>1</v>
      </c>
      <c r="B3" s="3">
        <v>27456</v>
      </c>
      <c r="C3" s="3">
        <v>173.39769449300701</v>
      </c>
      <c r="D3" s="3">
        <v>9.7966642144691871</v>
      </c>
    </row>
  </sheetData>
  <autoFilter ref="A1:D3" xr:uid="{00000000-0009-0000-0000-000005000000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6640625" customWidth="1"/>
    <col min="2" max="2" width="19.6640625" customWidth="1"/>
    <col min="3" max="3" width="21.6640625" customWidth="1"/>
    <col min="4" max="4" width="14.6640625" customWidth="1"/>
  </cols>
  <sheetData>
    <row r="1" spans="1:4" ht="24" customHeight="1" x14ac:dyDescent="0.3">
      <c r="A1" s="1" t="s">
        <v>52</v>
      </c>
      <c r="B1" s="1" t="s">
        <v>184</v>
      </c>
      <c r="C1" s="1" t="s">
        <v>186</v>
      </c>
      <c r="D1" s="1" t="s">
        <v>183</v>
      </c>
    </row>
    <row r="2" spans="1:4" x14ac:dyDescent="0.3">
      <c r="A2" s="4" t="s">
        <v>56</v>
      </c>
      <c r="B2" s="3">
        <v>154.75531754885131</v>
      </c>
      <c r="C2" s="3">
        <v>138</v>
      </c>
      <c r="D2" s="3">
        <v>79783</v>
      </c>
    </row>
    <row r="3" spans="1:4" x14ac:dyDescent="0.3">
      <c r="A3" s="6" t="s">
        <v>65</v>
      </c>
      <c r="B3" s="3">
        <v>157.8119557195572</v>
      </c>
      <c r="C3" s="3">
        <v>142.19999999999999</v>
      </c>
      <c r="D3" s="3">
        <v>4065</v>
      </c>
    </row>
    <row r="4" spans="1:4" x14ac:dyDescent="0.3">
      <c r="A4" s="4" t="s">
        <v>60</v>
      </c>
      <c r="B4" s="3">
        <v>157.1754121526142</v>
      </c>
      <c r="C4" s="3">
        <v>142.19999999999999</v>
      </c>
      <c r="D4" s="3">
        <v>6369</v>
      </c>
    </row>
    <row r="5" spans="1:4" x14ac:dyDescent="0.3">
      <c r="A5" s="6" t="s">
        <v>63</v>
      </c>
      <c r="B5" s="3">
        <v>154.20809716599189</v>
      </c>
      <c r="C5" s="3">
        <v>137.4</v>
      </c>
      <c r="D5" s="3">
        <v>9633</v>
      </c>
    </row>
  </sheetData>
  <autoFilter ref="A1:D5" xr:uid="{00000000-0009-0000-0000-000006000000}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.6640625" customWidth="1"/>
    <col min="2" max="2" width="14.6640625" customWidth="1"/>
    <col min="3" max="3" width="28.6640625" customWidth="1"/>
  </cols>
  <sheetData>
    <row r="1" spans="1:3" ht="24" customHeight="1" x14ac:dyDescent="0.3">
      <c r="A1" s="1" t="s">
        <v>187</v>
      </c>
      <c r="B1" s="1" t="s">
        <v>188</v>
      </c>
      <c r="C1" s="1" t="s">
        <v>189</v>
      </c>
    </row>
    <row r="2" spans="1:3" x14ac:dyDescent="0.3">
      <c r="A2" s="4" t="s">
        <v>190</v>
      </c>
      <c r="B2" s="3">
        <v>250</v>
      </c>
      <c r="C2" s="4" t="s">
        <v>191</v>
      </c>
    </row>
    <row r="3" spans="1:3" x14ac:dyDescent="0.3">
      <c r="A3" s="6" t="s">
        <v>192</v>
      </c>
      <c r="B3" s="3">
        <v>296</v>
      </c>
      <c r="C3" s="6" t="s">
        <v>193</v>
      </c>
    </row>
    <row r="4" spans="1:3" x14ac:dyDescent="0.3">
      <c r="A4" s="4" t="s">
        <v>194</v>
      </c>
      <c r="B4" s="3">
        <v>300</v>
      </c>
      <c r="C4" s="4" t="s">
        <v>195</v>
      </c>
    </row>
    <row r="5" spans="1:3" x14ac:dyDescent="0.3">
      <c r="A5" s="6" t="s">
        <v>196</v>
      </c>
      <c r="B5" s="3">
        <v>150</v>
      </c>
      <c r="C5" s="6" t="s">
        <v>197</v>
      </c>
    </row>
    <row r="6" spans="1:3" x14ac:dyDescent="0.3">
      <c r="A6" s="4" t="s">
        <v>198</v>
      </c>
      <c r="B6" s="3">
        <v>0</v>
      </c>
      <c r="C6" s="4" t="s">
        <v>199</v>
      </c>
    </row>
    <row r="7" spans="1:3" x14ac:dyDescent="0.3">
      <c r="A7" s="6" t="s">
        <v>200</v>
      </c>
      <c r="B7" s="3">
        <v>6.4249999999999998</v>
      </c>
      <c r="C7" s="6" t="s">
        <v>201</v>
      </c>
    </row>
    <row r="8" spans="1:3" x14ac:dyDescent="0.3">
      <c r="A8" s="4" t="s">
        <v>202</v>
      </c>
      <c r="B8" s="3">
        <v>2655</v>
      </c>
      <c r="C8" s="4" t="s">
        <v>203</v>
      </c>
    </row>
    <row r="9" spans="1:3" x14ac:dyDescent="0.3">
      <c r="A9" s="6" t="s">
        <v>204</v>
      </c>
      <c r="B9" s="6" t="s">
        <v>205</v>
      </c>
      <c r="C9" s="6" t="s">
        <v>206</v>
      </c>
    </row>
    <row r="10" spans="1:3" x14ac:dyDescent="0.3">
      <c r="A10" s="4" t="s">
        <v>207</v>
      </c>
      <c r="B10" s="4" t="s">
        <v>208</v>
      </c>
      <c r="C10" s="4" t="s">
        <v>209</v>
      </c>
    </row>
  </sheetData>
  <autoFilter ref="A1:C10" xr:uid="{00000000-0009-0000-0000-000007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.6640625" customWidth="1"/>
    <col min="2" max="2" width="28.6640625" customWidth="1"/>
  </cols>
  <sheetData>
    <row r="1" spans="1:2" ht="24" customHeight="1" x14ac:dyDescent="0.3">
      <c r="A1" s="1" t="s">
        <v>210</v>
      </c>
      <c r="B1" s="1" t="s">
        <v>211</v>
      </c>
    </row>
    <row r="2" spans="1:2" x14ac:dyDescent="0.3">
      <c r="A2" s="4" t="s">
        <v>212</v>
      </c>
      <c r="B2" s="4" t="e">
        <f>AVERAGE('[1]Cleaned Sessions'!E2:E99851)</f>
        <v>#REF!</v>
      </c>
    </row>
    <row r="3" spans="1:2" x14ac:dyDescent="0.3">
      <c r="A3" s="6" t="s">
        <v>213</v>
      </c>
      <c r="B3" s="6" t="e">
        <f>MEDIAN('[1]Cleaned Sessions'!E2:E99851)</f>
        <v>#REF!</v>
      </c>
    </row>
    <row r="4" spans="1:2" x14ac:dyDescent="0.3">
      <c r="A4" s="4" t="s">
        <v>214</v>
      </c>
      <c r="B4" s="4" t="e">
        <f>MAX('[1]Cleaned Sessions'!E2:E99851)</f>
        <v>#REF!</v>
      </c>
    </row>
    <row r="5" spans="1:2" x14ac:dyDescent="0.3">
      <c r="A5" s="6" t="s">
        <v>215</v>
      </c>
      <c r="B5" s="6" t="e">
        <f>MIN('[1]Cleaned Sessions'!E2:E99851)</f>
        <v>#REF!</v>
      </c>
    </row>
    <row r="6" spans="1:2" x14ac:dyDescent="0.3">
      <c r="A6" s="4" t="s">
        <v>216</v>
      </c>
      <c r="B6" s="4" t="e">
        <f>AVERAGE('[1]Cleaned Sessions'!F2:F99851)</f>
        <v>#REF!</v>
      </c>
    </row>
    <row r="7" spans="1:2" x14ac:dyDescent="0.3">
      <c r="A7" s="6" t="s">
        <v>217</v>
      </c>
      <c r="B7" s="6" t="e">
        <f>SUM('[1]Cleaned Sessions'!F2:F99851)</f>
        <v>#REF!</v>
      </c>
    </row>
    <row r="8" spans="1:2" x14ac:dyDescent="0.3">
      <c r="A8" s="4" t="s">
        <v>218</v>
      </c>
      <c r="B8" s="4">
        <f>COUNTA([2]Zones!A2:A121)</f>
        <v>120</v>
      </c>
    </row>
    <row r="9" spans="1:2" x14ac:dyDescent="0.3">
      <c r="A9" s="6" t="s">
        <v>219</v>
      </c>
      <c r="B9" s="6">
        <f>COUNTA('[1]Cleaned Sessions'!A2:A99851)</f>
        <v>99850</v>
      </c>
    </row>
  </sheetData>
  <autoFilter ref="A1:B9" xr:uid="{00000000-0009-0000-0000-000008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.6640625" customWidth="1"/>
    <col min="2" max="2" width="28.6640625" customWidth="1"/>
    <col min="3" max="3" width="14.6640625" customWidth="1"/>
    <col min="4" max="4" width="20.6640625" customWidth="1"/>
    <col min="5" max="7" width="14.6640625" customWidth="1"/>
  </cols>
  <sheetData>
    <row r="1" spans="1:7" ht="24" customHeight="1" x14ac:dyDescent="0.3">
      <c r="A1" s="1" t="s">
        <v>220</v>
      </c>
      <c r="B1" s="1" t="s">
        <v>188</v>
      </c>
      <c r="C1" s="1"/>
      <c r="D1" s="1" t="s">
        <v>221</v>
      </c>
      <c r="E1" s="1" t="s">
        <v>222</v>
      </c>
      <c r="F1" s="1" t="s">
        <v>223</v>
      </c>
      <c r="G1" s="1" t="s">
        <v>224</v>
      </c>
    </row>
    <row r="2" spans="1:7" x14ac:dyDescent="0.3">
      <c r="A2" s="4" t="s">
        <v>225</v>
      </c>
      <c r="B2" s="3">
        <v>0.95379643214050303</v>
      </c>
      <c r="C2" s="4"/>
      <c r="D2" s="4" t="s">
        <v>222</v>
      </c>
      <c r="E2" s="3">
        <v>44197</v>
      </c>
      <c r="F2" s="3">
        <v>1830</v>
      </c>
      <c r="G2" s="3">
        <v>33</v>
      </c>
    </row>
    <row r="3" spans="1:7" x14ac:dyDescent="0.3">
      <c r="A3" s="6" t="s">
        <v>226</v>
      </c>
      <c r="B3" s="3">
        <v>0.97951406713661726</v>
      </c>
      <c r="C3" s="6"/>
      <c r="D3" s="6" t="s">
        <v>223</v>
      </c>
      <c r="E3" s="3">
        <v>226</v>
      </c>
      <c r="F3" s="3">
        <v>646</v>
      </c>
      <c r="G3" s="3">
        <v>38</v>
      </c>
    </row>
    <row r="4" spans="1:7" x14ac:dyDescent="0.3">
      <c r="A4" s="4" t="s">
        <v>227</v>
      </c>
      <c r="B4" s="3">
        <v>0.95379643214050303</v>
      </c>
      <c r="C4" s="4"/>
      <c r="D4" s="4" t="s">
        <v>224</v>
      </c>
      <c r="E4" s="3">
        <v>2</v>
      </c>
      <c r="F4" s="3">
        <v>44</v>
      </c>
      <c r="G4" s="3">
        <v>15</v>
      </c>
    </row>
    <row r="5" spans="1:7" x14ac:dyDescent="0.3">
      <c r="A5" s="6" t="s">
        <v>228</v>
      </c>
      <c r="B5" s="3">
        <v>0.96427532996746568</v>
      </c>
      <c r="C5" s="6"/>
      <c r="D5" s="6"/>
      <c r="E5" s="6"/>
      <c r="F5" s="6"/>
      <c r="G5" s="6"/>
    </row>
    <row r="6" spans="1:7" x14ac:dyDescent="0.3">
      <c r="A6" s="4"/>
      <c r="B6" s="4"/>
      <c r="C6" s="4"/>
      <c r="D6" s="4"/>
      <c r="E6" s="4"/>
      <c r="F6" s="4"/>
      <c r="G6" s="4"/>
    </row>
    <row r="7" spans="1:7" x14ac:dyDescent="0.3">
      <c r="A7" s="6"/>
      <c r="B7" s="6"/>
      <c r="C7" s="6"/>
      <c r="D7" s="6"/>
      <c r="E7" s="6"/>
      <c r="F7" s="6"/>
      <c r="G7" s="6"/>
    </row>
    <row r="8" spans="1:7" x14ac:dyDescent="0.3">
      <c r="A8" s="4" t="s">
        <v>229</v>
      </c>
      <c r="B8" s="4" t="s">
        <v>230</v>
      </c>
      <c r="C8" s="4"/>
      <c r="D8" s="4"/>
      <c r="E8" s="4"/>
      <c r="F8" s="4"/>
      <c r="G8" s="4"/>
    </row>
    <row r="9" spans="1:7" x14ac:dyDescent="0.3">
      <c r="A9" s="6" t="s">
        <v>231</v>
      </c>
      <c r="B9" s="6" t="s">
        <v>232</v>
      </c>
      <c r="C9" s="6"/>
      <c r="D9" s="6"/>
      <c r="E9" s="6"/>
      <c r="F9" s="6"/>
      <c r="G9" s="6"/>
    </row>
    <row r="10" spans="1:7" x14ac:dyDescent="0.3">
      <c r="A10" s="4" t="s">
        <v>233</v>
      </c>
      <c r="B10" s="4" t="s">
        <v>234</v>
      </c>
      <c r="C10" s="4"/>
      <c r="D10" s="4"/>
      <c r="E10" s="4"/>
      <c r="F10" s="4"/>
      <c r="G10" s="4"/>
    </row>
  </sheetData>
  <autoFilter ref="A1:G10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Sheet2</vt:lpstr>
      <vt:lpstr>Sheet3</vt:lpstr>
      <vt:lpstr>Zone Analysis</vt:lpstr>
      <vt:lpstr>Peak Time</vt:lpstr>
      <vt:lpstr>Turnover Summary</vt:lpstr>
      <vt:lpstr>Event Comparison</vt:lpstr>
      <vt:lpstr>Weather Comparison</vt:lpstr>
      <vt:lpstr>Duration Distribution</vt:lpstr>
      <vt:lpstr>Data Quality</vt:lpstr>
      <vt:lpstr>Formulas &amp; Statistics</vt:lpstr>
      <vt:lpstr>ML Evidence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Parking Utilization Insight — Polished Dashboard</dc:title>
  <dc:creator>ParkSmart City Services</dc:creator>
  <cp:lastModifiedBy>Madhumitha Y</cp:lastModifiedBy>
  <dcterms:created xsi:type="dcterms:W3CDTF">2026-10-13T07:34:59Z</dcterms:created>
  <dcterms:modified xsi:type="dcterms:W3CDTF">2026-10-13T10:25:29Z</dcterms:modified>
</cp:coreProperties>
</file>